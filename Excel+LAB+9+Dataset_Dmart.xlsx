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Git labs\"/>
    </mc:Choice>
  </mc:AlternateContent>
  <xr:revisionPtr revIDLastSave="0" documentId="8_{32E2D3E3-4A0F-42EC-ACF9-CFB24325E4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mart_RetailBusiness" sheetId="2" r:id="rId1"/>
  </sheets>
  <calcPr calcId="191029"/>
  <customWorkbookViews>
    <customWorkbookView name="Filter 1" guid="{BF3B1CC5-F505-4A7A-8591-37BC58DFDC4E}" maximized="1" windowWidth="0" windowHeight="0" activeSheetId="0"/>
    <customWorkbookView name="Filter 2" guid="{5370E2EB-961E-495E-9084-DE1581319F6A}" maximized="1" windowWidth="0" windowHeight="0" activeSheetId="0"/>
  </customWorkbookViews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2" l="1"/>
  <c r="G100" i="2"/>
  <c r="B100" i="2"/>
  <c r="H99" i="2"/>
  <c r="G99" i="2"/>
  <c r="B99" i="2"/>
  <c r="H98" i="2"/>
  <c r="G98" i="2"/>
  <c r="B98" i="2"/>
  <c r="H97" i="2"/>
  <c r="G97" i="2"/>
  <c r="B97" i="2"/>
  <c r="H96" i="2"/>
  <c r="G96" i="2"/>
  <c r="B96" i="2"/>
  <c r="H95" i="2"/>
  <c r="G95" i="2"/>
  <c r="B95" i="2"/>
  <c r="H94" i="2"/>
  <c r="G94" i="2"/>
  <c r="B94" i="2"/>
  <c r="H93" i="2"/>
  <c r="G93" i="2"/>
  <c r="B93" i="2"/>
  <c r="H92" i="2"/>
  <c r="G92" i="2"/>
  <c r="B92" i="2"/>
  <c r="H91" i="2"/>
  <c r="G91" i="2"/>
  <c r="B91" i="2"/>
  <c r="H90" i="2"/>
  <c r="G90" i="2"/>
  <c r="B90" i="2"/>
  <c r="H89" i="2"/>
  <c r="G89" i="2"/>
  <c r="B89" i="2"/>
  <c r="H88" i="2"/>
  <c r="G88" i="2"/>
  <c r="B88" i="2"/>
  <c r="H87" i="2"/>
  <c r="G87" i="2"/>
  <c r="B87" i="2"/>
  <c r="H86" i="2"/>
  <c r="G86" i="2"/>
  <c r="B86" i="2"/>
  <c r="H85" i="2"/>
  <c r="G85" i="2"/>
  <c r="B85" i="2"/>
  <c r="H84" i="2"/>
  <c r="G84" i="2"/>
  <c r="B84" i="2"/>
  <c r="H83" i="2"/>
  <c r="G83" i="2"/>
  <c r="B83" i="2"/>
  <c r="H82" i="2"/>
  <c r="G82" i="2"/>
  <c r="B82" i="2"/>
  <c r="H81" i="2"/>
  <c r="G81" i="2"/>
  <c r="B81" i="2"/>
  <c r="H80" i="2"/>
  <c r="G80" i="2"/>
  <c r="B80" i="2"/>
  <c r="H79" i="2"/>
  <c r="G79" i="2"/>
  <c r="B79" i="2"/>
  <c r="H78" i="2"/>
  <c r="G78" i="2"/>
  <c r="B78" i="2"/>
  <c r="H77" i="2"/>
  <c r="G77" i="2"/>
  <c r="B77" i="2"/>
  <c r="H76" i="2"/>
  <c r="G76" i="2"/>
  <c r="B76" i="2"/>
  <c r="H75" i="2"/>
  <c r="G75" i="2"/>
  <c r="B75" i="2"/>
  <c r="H74" i="2"/>
  <c r="G74" i="2"/>
  <c r="B74" i="2"/>
  <c r="H73" i="2"/>
  <c r="G73" i="2"/>
  <c r="B73" i="2"/>
  <c r="H72" i="2"/>
  <c r="G72" i="2"/>
  <c r="B72" i="2"/>
  <c r="H71" i="2"/>
  <c r="G71" i="2"/>
  <c r="B71" i="2"/>
  <c r="H70" i="2"/>
  <c r="G70" i="2"/>
  <c r="B70" i="2"/>
  <c r="H69" i="2"/>
  <c r="G69" i="2"/>
  <c r="B69" i="2"/>
  <c r="H68" i="2"/>
  <c r="G68" i="2"/>
  <c r="B68" i="2"/>
  <c r="H67" i="2"/>
  <c r="G67" i="2"/>
  <c r="B67" i="2"/>
  <c r="H66" i="2"/>
  <c r="G66" i="2"/>
  <c r="B66" i="2"/>
  <c r="H65" i="2"/>
  <c r="G65" i="2"/>
  <c r="B65" i="2"/>
  <c r="H64" i="2"/>
  <c r="G64" i="2"/>
  <c r="B64" i="2"/>
  <c r="H63" i="2"/>
  <c r="G63" i="2"/>
  <c r="B63" i="2"/>
  <c r="H62" i="2"/>
  <c r="G62" i="2"/>
  <c r="B62" i="2"/>
  <c r="H61" i="2"/>
  <c r="G61" i="2"/>
  <c r="B61" i="2"/>
  <c r="H60" i="2"/>
  <c r="G60" i="2"/>
  <c r="B60" i="2"/>
  <c r="H59" i="2"/>
  <c r="G59" i="2"/>
  <c r="B59" i="2"/>
  <c r="H58" i="2"/>
  <c r="G58" i="2"/>
  <c r="B58" i="2"/>
  <c r="H57" i="2"/>
  <c r="G57" i="2"/>
  <c r="B57" i="2"/>
  <c r="H56" i="2"/>
  <c r="G56" i="2"/>
  <c r="B56" i="2"/>
  <c r="H55" i="2"/>
  <c r="G55" i="2"/>
  <c r="B55" i="2"/>
  <c r="H54" i="2"/>
  <c r="G54" i="2"/>
  <c r="B54" i="2"/>
  <c r="H53" i="2"/>
  <c r="G53" i="2"/>
  <c r="B53" i="2"/>
  <c r="H52" i="2"/>
  <c r="G52" i="2"/>
  <c r="B52" i="2"/>
  <c r="H51" i="2"/>
  <c r="G51" i="2"/>
  <c r="B51" i="2"/>
  <c r="H50" i="2"/>
  <c r="G50" i="2"/>
  <c r="B50" i="2"/>
  <c r="H49" i="2"/>
  <c r="G49" i="2"/>
  <c r="B49" i="2"/>
  <c r="H48" i="2"/>
  <c r="G48" i="2"/>
  <c r="B48" i="2"/>
  <c r="H47" i="2"/>
  <c r="G47" i="2"/>
  <c r="B47" i="2"/>
  <c r="H46" i="2"/>
  <c r="G46" i="2"/>
  <c r="B46" i="2"/>
  <c r="H45" i="2"/>
  <c r="G45" i="2"/>
  <c r="B45" i="2"/>
  <c r="H44" i="2"/>
  <c r="G44" i="2"/>
  <c r="B44" i="2"/>
  <c r="H43" i="2"/>
  <c r="G43" i="2"/>
  <c r="B43" i="2"/>
  <c r="H42" i="2"/>
  <c r="G42" i="2"/>
  <c r="B42" i="2"/>
  <c r="H41" i="2"/>
  <c r="G41" i="2"/>
  <c r="B41" i="2"/>
  <c r="H40" i="2"/>
  <c r="G40" i="2"/>
  <c r="B40" i="2"/>
  <c r="H39" i="2"/>
  <c r="G39" i="2"/>
  <c r="B39" i="2"/>
  <c r="H38" i="2"/>
  <c r="G38" i="2"/>
  <c r="B38" i="2"/>
  <c r="H37" i="2"/>
  <c r="G37" i="2"/>
  <c r="B37" i="2"/>
  <c r="H36" i="2"/>
  <c r="G36" i="2"/>
  <c r="B36" i="2"/>
  <c r="H35" i="2"/>
  <c r="G35" i="2"/>
  <c r="B35" i="2"/>
  <c r="H34" i="2"/>
  <c r="G34" i="2"/>
  <c r="B34" i="2"/>
  <c r="H33" i="2"/>
  <c r="G33" i="2"/>
  <c r="B33" i="2"/>
  <c r="H32" i="2"/>
  <c r="G32" i="2"/>
  <c r="B32" i="2"/>
  <c r="H31" i="2"/>
  <c r="G31" i="2"/>
  <c r="B31" i="2"/>
  <c r="H30" i="2"/>
  <c r="G30" i="2"/>
  <c r="B30" i="2"/>
  <c r="H29" i="2"/>
  <c r="G29" i="2"/>
  <c r="B29" i="2"/>
  <c r="H28" i="2"/>
  <c r="G28" i="2"/>
  <c r="B28" i="2"/>
  <c r="H27" i="2"/>
  <c r="G27" i="2"/>
  <c r="B27" i="2"/>
  <c r="H26" i="2"/>
  <c r="G26" i="2"/>
  <c r="B26" i="2"/>
  <c r="H25" i="2"/>
  <c r="G25" i="2"/>
  <c r="B25" i="2"/>
  <c r="H24" i="2"/>
  <c r="G24" i="2"/>
  <c r="B24" i="2"/>
  <c r="H23" i="2"/>
  <c r="G23" i="2"/>
  <c r="B23" i="2"/>
  <c r="H22" i="2"/>
  <c r="G22" i="2"/>
  <c r="B22" i="2"/>
  <c r="H21" i="2"/>
  <c r="G21" i="2"/>
  <c r="B21" i="2"/>
  <c r="H20" i="2"/>
  <c r="G20" i="2"/>
  <c r="B20" i="2"/>
  <c r="H19" i="2"/>
  <c r="G19" i="2"/>
  <c r="B19" i="2"/>
  <c r="H18" i="2"/>
  <c r="G18" i="2"/>
  <c r="B18" i="2"/>
  <c r="H17" i="2"/>
  <c r="G17" i="2"/>
  <c r="B17" i="2"/>
  <c r="H16" i="2"/>
  <c r="G16" i="2"/>
  <c r="B16" i="2"/>
  <c r="H15" i="2"/>
  <c r="G15" i="2"/>
  <c r="B15" i="2"/>
  <c r="H14" i="2"/>
  <c r="G14" i="2"/>
  <c r="B14" i="2"/>
  <c r="H13" i="2"/>
  <c r="G13" i="2"/>
  <c r="B13" i="2"/>
  <c r="H12" i="2"/>
  <c r="G12" i="2"/>
  <c r="B12" i="2"/>
  <c r="H11" i="2"/>
  <c r="G11" i="2"/>
  <c r="B11" i="2"/>
  <c r="H10" i="2"/>
  <c r="G10" i="2"/>
  <c r="B10" i="2"/>
  <c r="H9" i="2"/>
  <c r="G9" i="2"/>
  <c r="B9" i="2"/>
  <c r="H8" i="2"/>
  <c r="G8" i="2"/>
  <c r="B8" i="2"/>
  <c r="H7" i="2"/>
  <c r="G7" i="2"/>
  <c r="B7" i="2"/>
  <c r="H6" i="2"/>
  <c r="G6" i="2"/>
  <c r="B6" i="2"/>
  <c r="H5" i="2"/>
  <c r="G5" i="2"/>
  <c r="B5" i="2"/>
  <c r="H4" i="2"/>
  <c r="G4" i="2"/>
  <c r="B4" i="2"/>
  <c r="H3" i="2"/>
  <c r="G3" i="2"/>
  <c r="B3" i="2"/>
  <c r="H2" i="2"/>
  <c r="G2" i="2"/>
  <c r="B2" i="2"/>
</calcChain>
</file>

<file path=xl/sharedStrings.xml><?xml version="1.0" encoding="utf-8"?>
<sst xmlns="http://schemas.openxmlformats.org/spreadsheetml/2006/main" count="638" uniqueCount="148">
  <si>
    <t>order_id</t>
  </si>
  <si>
    <t>Order_Month</t>
  </si>
  <si>
    <t>sales</t>
  </si>
  <si>
    <t>order_date</t>
  </si>
  <si>
    <t>region</t>
  </si>
  <si>
    <t>category</t>
  </si>
  <si>
    <t>discount</t>
  </si>
  <si>
    <t>Net_Revenue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</si>
  <si>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</si>
  <si>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</si>
  <si>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</si>
  <si>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</si>
  <si>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</si>
  <si>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</si>
  <si>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</si>
  <si>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</si>
  <si>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</si>
  <si>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</si>
  <si>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</si>
  <si>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</si>
  <si>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</si>
  <si>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</si>
  <si>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</si>
  <si>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</si>
  <si>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</si>
  <si>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</si>
  <si>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Sum of sales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</si>
  <si>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</si>
  <si>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</si>
  <si>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</si>
  <si>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</si>
  <si>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</si>
  <si>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</si>
  <si>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</si>
  <si>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</si>
  <si>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South</t>
  </si>
  <si>
    <t>ORD100005</t>
  </si>
  <si>
    <t>Grocery</t>
  </si>
  <si>
    <t>Mumbai</t>
  </si>
  <si>
    <t>ORD100006</t>
  </si>
  <si>
    <t>Personal Care</t>
  </si>
  <si>
    <t>Grand Total</t>
  </si>
  <si>
    <t>ORD100007</t>
  </si>
  <si>
    <t>ORD100008</t>
  </si>
  <si>
    <t>Delhi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</si>
  <si>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</si>
  <si>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</si>
  <si>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</si>
  <si>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</si>
  <si>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</si>
  <si>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</si>
  <si>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</si>
  <si>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</si>
  <si>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</si>
  <si>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</si>
  <si>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</si>
  <si>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</si>
  <si>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January</t>
  </si>
  <si>
    <t>ORD100020</t>
  </si>
  <si>
    <t>February</t>
  </si>
  <si>
    <t>ORD100021</t>
  </si>
  <si>
    <t>March</t>
  </si>
  <si>
    <t>ORD100022</t>
  </si>
  <si>
    <t>April</t>
  </si>
  <si>
    <t>ORD100023</t>
  </si>
  <si>
    <t>May</t>
  </si>
  <si>
    <t>ORD100024</t>
  </si>
  <si>
    <t>June</t>
  </si>
  <si>
    <t>ORD100025</t>
  </si>
  <si>
    <t>July</t>
  </si>
  <si>
    <t>ORD100026</t>
  </si>
  <si>
    <t>August</t>
  </si>
  <si>
    <t>ORD100027</t>
  </si>
  <si>
    <t>September</t>
  </si>
  <si>
    <t>ORD100028</t>
  </si>
  <si>
    <t>October</t>
  </si>
  <si>
    <t>ORD100029</t>
  </si>
  <si>
    <t>November</t>
  </si>
  <si>
    <t>ORD100030</t>
  </si>
  <si>
    <t>December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</si>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</sst>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/mm/dd"/>
  </numFmts>
  <fonts count="3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[Excel+LAB+9+Dataset_Dmart.xlsx]Dmart_RetailBusiness!PivotTable1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accent5">
                    <a:lumMod val="50000"/>
                  </a:schemeClr>
                </a:solidFill>
              </a:rPr>
              <a:t>Regin-Wise Sum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1108340605901"/>
          <c:y val="0.34516265314744399"/>
          <c:w val="0.79533723974566795"/>
          <c:h val="0.48804393747359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Dmart_RetailBusiness!$Q$3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Dmart_RetailBusiness!$P$4:$P$8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Dmart_RetailBusiness!$Q$4:$Q$8</c:f>
              <c:numCache>
                <c:formatCode>General</c:formatCode>
                <c:ptCount val="4"/>
                <c:pt idx="0">
                  <c:v>64698.13</c:v>
                </c:pt>
                <c:pt idx="1">
                  <c:v>48899.81</c:v>
                </c:pt>
                <c:pt idx="2">
                  <c:v>79445.070000000007</c:v>
                </c:pt>
                <c:pt idx="3">
                  <c:v>79967.58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05E-B950-B92496033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580273707"/>
        <c:axId val="325743279"/>
      </c:barChart>
      <c:catAx>
        <c:axId val="58027370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layout>
            <c:manualLayout>
              <c:xMode val="edge"/>
              <c:yMode val="edge"/>
              <c:x val="0.43033090107618199"/>
              <c:y val="0.89820495341967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743279"/>
        <c:crosses val="autoZero"/>
        <c:auto val="1"/>
        <c:lblAlgn val="ctr"/>
        <c:lblOffset val="100"/>
        <c:noMultiLvlLbl val="0"/>
      </c:catAx>
      <c:valAx>
        <c:axId val="32574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Sales Data</a:t>
                </a:r>
              </a:p>
              <a:p>
                <a:pPr defTabSz="914400"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737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lang="en-US">
          <a:solidFill>
            <a:schemeClr val="accent5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[Excel+LAB+9+Dataset_Dmart.xlsx]Dmart_RetailBusiness!PivotTable2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Dmart_RetailBusiness!$Q$11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Dmart_RetailBusiness!$P$12:$P$17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Dmart_RetailBusiness!$Q$12:$Q$17</c:f>
              <c:numCache>
                <c:formatCode>General</c:formatCode>
                <c:ptCount val="5"/>
                <c:pt idx="0">
                  <c:v>64725.94</c:v>
                </c:pt>
                <c:pt idx="1">
                  <c:v>63909.34</c:v>
                </c:pt>
                <c:pt idx="2">
                  <c:v>47599.8</c:v>
                </c:pt>
                <c:pt idx="3">
                  <c:v>50326.02</c:v>
                </c:pt>
                <c:pt idx="4">
                  <c:v>46449.49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7-497E-B480-5106F53BC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882832624"/>
        <c:axId val="187158620"/>
      </c:barChart>
      <c:catAx>
        <c:axId val="882832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8620"/>
        <c:crosses val="autoZero"/>
        <c:auto val="1"/>
        <c:lblAlgn val="ctr"/>
        <c:lblOffset val="100"/>
        <c:noMultiLvlLbl val="0"/>
      </c:catAx>
      <c:valAx>
        <c:axId val="1871586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3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5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[Excel+LAB+9+Dataset_Dmart.xlsx]Dmart_RetailBusiness!PivotTable3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Dmart_RetailBusiness!$Q$20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Dmart_RetailBusiness!$P$21:$P$33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Dmart_RetailBusiness!$Q$21:$Q$33</c:f>
              <c:numCache>
                <c:formatCode>General</c:formatCode>
                <c:ptCount val="12"/>
                <c:pt idx="0">
                  <c:v>29201.87</c:v>
                </c:pt>
                <c:pt idx="1">
                  <c:v>8270.5300000000007</c:v>
                </c:pt>
                <c:pt idx="2">
                  <c:v>25901.99</c:v>
                </c:pt>
                <c:pt idx="3">
                  <c:v>16177.59</c:v>
                </c:pt>
                <c:pt idx="4">
                  <c:v>25203.38</c:v>
                </c:pt>
                <c:pt idx="5">
                  <c:v>26211.97</c:v>
                </c:pt>
                <c:pt idx="6">
                  <c:v>15760.08</c:v>
                </c:pt>
                <c:pt idx="7">
                  <c:v>15009.84</c:v>
                </c:pt>
                <c:pt idx="8">
                  <c:v>29150.51</c:v>
                </c:pt>
                <c:pt idx="9">
                  <c:v>22902.71</c:v>
                </c:pt>
                <c:pt idx="10">
                  <c:v>29980.82</c:v>
                </c:pt>
                <c:pt idx="11">
                  <c:v>29239.3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3-445C-B1D5-67F7421C6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2997264"/>
        <c:axId val="117295669"/>
      </c:lineChart>
      <c:catAx>
        <c:axId val="692997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95669"/>
        <c:crosses val="autoZero"/>
        <c:auto val="1"/>
        <c:lblAlgn val="ctr"/>
        <c:lblOffset val="100"/>
        <c:noMultiLvlLbl val="0"/>
      </c:catAx>
      <c:valAx>
        <c:axId val="1172956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9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515620</xdr:colOff>
      <xdr:row>0</xdr:row>
      <xdr:rowOff>45720</xdr:rowOff>
    </xdr:from>
    <xdr:to>
      <xdr:col>23</xdr:col>
      <xdr:colOff>313690</xdr:colOff>
      <xdr:row>15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552450</xdr:colOff>
      <xdr:row>15</xdr:row>
      <xdr:rowOff>34925</xdr:rowOff>
    </xdr:from>
    <xdr:to>
      <xdr:col>23</xdr:col>
      <xdr:colOff>83185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476250</xdr:colOff>
      <xdr:row>29</xdr:row>
      <xdr:rowOff>190500</xdr:rowOff>
    </xdr:from>
    <xdr:to>
      <xdr:col>23</xdr:col>
      <xdr:colOff>8255</xdr:colOff>
      <xdr:row>43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5.652118055601" createdVersion="5" refreshedVersion="5" minRefreshableVersion="3" recordCount="99" xr:uid="{00000000-000A-0000-FFFF-FFFF00000000}">
  <cacheSource type="worksheet">
    <worksheetSource ref="A1:N100" sheet="Dmart_RetailBusiness"/>
  </cacheSource>
  <cacheFields count="14">
    <cacheField name="order_id" numFmtId="0">
      <sharedItems count="99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</sharedItems>
    </cacheField>
    <cacheField name="Order_Month" numFmtId="166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sales" numFmtId="0">
      <sharedItems containsSemiMixedTypes="0" containsString="0" containsNumber="1" minValue="0" maxValue="4997.47" count="99">
        <n v="713.49"/>
        <n v="3802.97"/>
        <n v="3588.97"/>
        <n v="1160.8599999999999"/>
        <n v="3071.32"/>
        <n v="2566.1799999999998"/>
        <n v="398"/>
        <n v="1462.95"/>
        <n v="4997.47"/>
        <n v="587.72"/>
        <n v="2581.42"/>
        <n v="4261.74"/>
        <n v="1573.19"/>
        <n v="1377.47"/>
        <n v="4464.8900000000003"/>
        <n v="1593.67"/>
        <n v="3292.32"/>
        <n v="3727.53"/>
        <n v="3964.23"/>
        <n v="4974.32"/>
        <n v="4035.64"/>
        <n v="3319.36"/>
        <n v="4487.7700000000004"/>
        <n v="4538.1499999999996"/>
        <n v="4868.5200000000004"/>
        <n v="3904.68"/>
        <n v="1055.1400000000001"/>
        <n v="3578.05"/>
        <n v="468.13"/>
        <n v="1658.02"/>
        <n v="667.46"/>
        <n v="4754.72"/>
        <n v="1759.9"/>
        <n v="3594.76"/>
        <n v="2899.46"/>
        <n v="626.80999999999995"/>
        <n v="2850.59"/>
        <n v="3339.02"/>
        <n v="4419.43"/>
        <n v="443.42"/>
        <n v="1548.61"/>
        <n v="3492.47"/>
        <n v="268.23"/>
        <n v="1097.4100000000001"/>
        <n v="1171.48"/>
        <n v="3379.7"/>
        <n v="1501.21"/>
        <n v="3038.02"/>
        <n v="4830.21"/>
        <n v="3986.89"/>
        <n v="1731.22"/>
        <n v="2414.7600000000002"/>
        <n v="1083.3"/>
        <n v="177.03"/>
        <n v="1519.61"/>
        <n v="1910.1"/>
        <n v="2865.4"/>
        <n v="4725.93"/>
        <n v="4744.4799999999996"/>
        <n v="443.48"/>
        <n v="3111.76"/>
        <n v="307.52999999999997"/>
        <n v="3275.6"/>
        <n v="676.75"/>
        <n v="4737.37"/>
        <n v="4335.26"/>
        <n v="209.41"/>
        <n v="3932.45"/>
        <n v="3215.9"/>
        <n v="2527.31"/>
        <n v="3052.91"/>
        <n v="3423.43"/>
        <n v="4433.84"/>
        <n v="3860.05"/>
        <n v="2919.35"/>
        <n v="4140.62"/>
        <n v="4935.92"/>
        <n v="1570.89"/>
        <n v="680.26"/>
        <n v="3684.1"/>
        <n v="4895.12"/>
        <n v="671.86"/>
        <n v="2215.37"/>
        <n v="405.11"/>
        <n v="3905.01"/>
        <n v="4748.67"/>
        <n v="2545.0700000000002"/>
        <n v="2106.65"/>
        <n v="4547.82"/>
        <n v="753.6"/>
        <n v="4468.76"/>
        <n v="2021.42"/>
        <n v="2841.09"/>
        <n v="2688.63"/>
        <n v="3118.3"/>
        <n v="4716.3999999999996"/>
        <n v="4760.5200000000004"/>
        <n v="4172.63"/>
        <n v="1038.57"/>
      </sharedItems>
    </cacheField>
    <cacheField name="order_date" numFmtId="166">
      <sharedItems containsSemiMixedTypes="0" containsNonDate="0" containsDate="1" containsString="0" minDate="2023-01-07T00:00:00" maxDate="2024-12-31T00:00:00" count="94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</sharedItems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discount" numFmtId="0">
      <sharedItems containsSemiMixedTypes="0" containsString="0" containsNumber="1" minValue="0" maxValue="499.74700000000001" count="99">
        <n v="71.349000000000004"/>
        <n v="380.29700000000003"/>
        <n v="358.89699999999999"/>
        <n v="116.086"/>
        <n v="307.13200000000001"/>
        <n v="256.61799999999999"/>
        <n v="39.799999999999997"/>
        <n v="146.29499999999999"/>
        <n v="499.74700000000001"/>
        <n v="58.771999999999998"/>
        <n v="258.142"/>
        <n v="426.17399999999998"/>
        <n v="157.31899999999999"/>
        <n v="137.74700000000001"/>
        <n v="446.48899999999998"/>
        <n v="159.36699999999999"/>
        <n v="329.23200000000003"/>
        <n v="372.75299999999999"/>
        <n v="396.423"/>
        <n v="497.43200000000002"/>
        <n v="403.56400000000002"/>
        <n v="331.93599999999998"/>
        <n v="448.77699999999999"/>
        <n v="453.815"/>
        <n v="486.85199999999998"/>
        <n v="390.46800000000002"/>
        <n v="105.514"/>
        <n v="357.80500000000001"/>
        <n v="46.813000000000002"/>
        <n v="165.80199999999999"/>
        <n v="66.745999999999995"/>
        <n v="475.47199999999998"/>
        <n v="175.99"/>
        <n v="359.476"/>
        <n v="289.94600000000003"/>
        <n v="62.680999999999997"/>
        <n v="285.05900000000003"/>
        <n v="333.90199999999999"/>
        <n v="441.94299999999998"/>
        <n v="44.341999999999999"/>
        <n v="154.86099999999999"/>
        <n v="349.24700000000001"/>
        <n v="26.823"/>
        <n v="109.741"/>
        <n v="117.148"/>
        <n v="337.97"/>
        <n v="150.12100000000001"/>
        <n v="303.80200000000002"/>
        <n v="483.02100000000002"/>
        <n v="398.68900000000002"/>
        <n v="173.12200000000001"/>
        <n v="241.476"/>
        <n v="108.33"/>
        <n v="17.702999999999999"/>
        <n v="151.96100000000001"/>
        <n v="191.01"/>
        <n v="286.54000000000002"/>
        <n v="472.59300000000002"/>
        <n v="474.44799999999998"/>
        <n v="44.347999999999999"/>
        <n v="311.17599999999999"/>
        <n v="30.753"/>
        <n v="327.56"/>
        <n v="67.674999999999997"/>
        <n v="473.73700000000002"/>
        <n v="433.52600000000001"/>
        <n v="20.940999999999999"/>
        <n v="393.245"/>
        <n v="321.58999999999997"/>
        <n v="252.73099999999999"/>
        <n v="305.291"/>
        <n v="342.34300000000002"/>
        <n v="443.38400000000001"/>
        <n v="386.005"/>
        <n v="291.935"/>
        <n v="414.06200000000001"/>
        <n v="493.59199999999998"/>
        <n v="157.089"/>
        <n v="68.025999999999996"/>
        <n v="368.41"/>
        <n v="489.512"/>
        <n v="67.186000000000007"/>
        <n v="221.53700000000001"/>
        <n v="40.511000000000003"/>
        <n v="390.50099999999998"/>
        <n v="474.86700000000002"/>
        <n v="254.50700000000001"/>
        <n v="210.66499999999999"/>
        <n v="454.78199999999998"/>
        <n v="75.36"/>
        <n v="446.87599999999998"/>
        <n v="202.142"/>
        <n v="284.10899999999998"/>
        <n v="268.863"/>
        <n v="311.83"/>
        <n v="471.64"/>
        <n v="476.05200000000002"/>
        <n v="417.26299999999998"/>
        <n v="103.857"/>
      </sharedItems>
    </cacheField>
    <cacheField name="Net_Revenue" numFmtId="0">
      <sharedItems containsSemiMixedTypes="0" containsString="0" containsNumber="1" minValue="0" maxValue="4497.723" count="99">
        <n v="642.14099999999996"/>
        <n v="3422.6729999999998"/>
        <n v="3230.0729999999999"/>
        <n v="1044.7739999999999"/>
        <n v="2764.1880000000001"/>
        <n v="2309.5619999999999"/>
        <n v="358.2"/>
        <n v="1316.655"/>
        <n v="4497.723"/>
        <n v="528.94799999999998"/>
        <n v="2323.2779999999998"/>
        <n v="3835.5659999999998"/>
        <n v="1415.8710000000001"/>
        <n v="1239.723"/>
        <n v="4018.4009999999998"/>
        <n v="1434.3030000000001"/>
        <n v="2963.0880000000002"/>
        <n v="3354.777"/>
        <n v="3567.8069999999998"/>
        <n v="4476.8879999999999"/>
        <n v="3632.076"/>
        <n v="2987.424"/>
        <n v="4038.9929999999999"/>
        <n v="4084.335"/>
        <n v="4381.6679999999997"/>
        <n v="3514.212"/>
        <n v="949.62599999999998"/>
        <n v="3220.2449999999999"/>
        <n v="421.31700000000001"/>
        <n v="1492.2180000000001"/>
        <n v="600.71400000000006"/>
        <n v="4279.2479999999996"/>
        <n v="1583.91"/>
        <n v="3235.2840000000001"/>
        <n v="2609.5140000000001"/>
        <n v="564.12900000000002"/>
        <n v="2565.5309999999999"/>
        <n v="3005.1179999999999"/>
        <n v="3977.4870000000001"/>
        <n v="399.07799999999997"/>
        <n v="1393.749"/>
        <n v="3143.223"/>
        <n v="241.40700000000001"/>
        <n v="987.66899999999998"/>
        <n v="1054.3320000000001"/>
        <n v="3041.73"/>
        <n v="1351.0889999999999"/>
        <n v="2734.2179999999998"/>
        <n v="4347.1890000000003"/>
        <n v="3588.201"/>
        <n v="1558.098"/>
        <n v="2173.2840000000001"/>
        <n v="974.97"/>
        <n v="159.327"/>
        <n v="1367.6489999999999"/>
        <n v="1719.09"/>
        <n v="2578.86"/>
        <n v="4253.3370000000004"/>
        <n v="4270.0320000000002"/>
        <n v="399.13200000000001"/>
        <n v="2800.5839999999998"/>
        <n v="276.77699999999999"/>
        <n v="2948.04"/>
        <n v="609.07500000000005"/>
        <n v="4263.6329999999998"/>
        <n v="3901.7339999999999"/>
        <n v="188.46899999999999"/>
        <n v="3539.2049999999999"/>
        <n v="2894.31"/>
        <n v="2274.5790000000002"/>
        <n v="2747.6190000000001"/>
        <n v="3081.087"/>
        <n v="3990.4560000000001"/>
        <n v="3474.0450000000001"/>
        <n v="2627.415"/>
        <n v="3726.558"/>
        <n v="4442.3280000000004"/>
        <n v="1413.8009999999999"/>
        <n v="612.23400000000004"/>
        <n v="3315.69"/>
        <n v="4405.6080000000002"/>
        <n v="604.67399999999998"/>
        <n v="1993.8330000000001"/>
        <n v="364.59899999999999"/>
        <n v="3514.509"/>
        <n v="4273.8029999999999"/>
        <n v="2290.5630000000001"/>
        <n v="1895.9849999999999"/>
        <n v="4093.038"/>
        <n v="678.24"/>
        <n v="4021.884"/>
        <n v="1819.278"/>
        <n v="2556.9810000000002"/>
        <n v="2419.7669999999998"/>
        <n v="2806.47"/>
        <n v="4244.76"/>
        <n v="4284.4679999999998"/>
        <n v="3755.3670000000002"/>
        <n v="934.71299999999997"/>
      </sharedItems>
    </cacheField>
    <cacheField name="quantity" numFmtId="0">
      <sharedItems containsSemiMixedTypes="0" containsString="0" containsNumber="1" containsInteger="1" minValue="0" maxValue="9" count="9">
        <n v="3"/>
        <n v="4"/>
        <n v="7"/>
        <n v="5"/>
        <n v="6"/>
        <n v="2"/>
        <n v="1"/>
        <n v="9"/>
        <n v="8"/>
      </sharedItems>
    </cacheField>
    <cacheField name="delivery_date" numFmtId="166">
      <sharedItems containsSemiMixedTypes="0" containsNonDate="0" containsDate="1" containsString="0" minDate="2023-01-13T00:00:00" maxDate="2025-01-02T00:00:00" count="96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0" maxValue="1440.78" count="99">
        <n v="114.72"/>
        <n v="971.41"/>
        <n v="769.08"/>
        <n v="71.61"/>
        <n v="621.91999999999996"/>
        <n v="578.94000000000005"/>
        <n v="110.31"/>
        <n v="91.68"/>
        <n v="995.78"/>
        <n v="102.96"/>
        <n v="542.82000000000005"/>
        <n v="1028.47"/>
        <n v="131.5"/>
        <n v="255.49"/>
        <n v="804.36"/>
        <n v="284.91000000000003"/>
        <n v="504.83"/>
        <n v="978.07"/>
        <n v="260.95"/>
        <n v="727.29"/>
        <n v="798.81"/>
        <n v="920.22"/>
        <n v="931.37"/>
        <n v="375.7"/>
        <n v="1072.26"/>
        <n v="526.66"/>
        <n v="207.61"/>
        <n v="689.74"/>
        <n v="43.58"/>
        <n v="422.33"/>
        <n v="123.49"/>
        <n v="697.03"/>
        <n v="178.58"/>
        <n v="1002.97"/>
        <n v="320.43"/>
        <n v="177.84"/>
        <n v="528.38"/>
        <n v="586.69000000000005"/>
        <n v="742.22"/>
        <n v="119.91"/>
        <n v="392.57"/>
        <n v="765.08"/>
        <n v="48.54"/>
        <n v="235.05"/>
        <n v="129.80000000000001"/>
        <n v="588.79"/>
        <n v="127.89"/>
        <n v="249.34"/>
        <n v="1097.26"/>
        <n v="1139.21"/>
        <n v="433.9"/>
        <n v="687.58"/>
        <n v="114.25"/>
        <n v="20.43"/>
        <n v="237.01"/>
        <n v="278.48"/>
        <n v="356.81"/>
        <n v="581.75"/>
        <n v="1320.22"/>
        <n v="42.23"/>
        <n v="835.81"/>
        <n v="54.58"/>
        <n v="922.83"/>
        <n v="36.86"/>
        <n v="499.78"/>
        <n v="757.48"/>
        <n v="17.88"/>
        <n v="408.02"/>
        <n v="542.05999999999995"/>
        <n v="611.45000000000005"/>
        <n v="752"/>
        <n v="698.02"/>
        <n v="1229.3"/>
        <n v="800.39"/>
        <n v="163.35"/>
        <n v="743.22"/>
        <n v="1440.78"/>
        <n v="336.22"/>
        <n v="151.09"/>
        <n v="289.32"/>
        <n v="684.94"/>
        <n v="175.75"/>
        <n v="171.87"/>
        <n v="105.25"/>
        <n v="754.77"/>
        <n v="705.01"/>
        <n v="719.11"/>
        <n v="120.84"/>
        <n v="1281.0999999999999"/>
        <n v="203.17"/>
        <n v="1325.93"/>
        <n v="311.67"/>
        <n v="469.27"/>
        <n v="608.51"/>
        <n v="241.86"/>
        <n v="523.02"/>
        <n v="764.06"/>
        <n v="957.31"/>
        <n v="180.83"/>
      </sharedItems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P20:Q33" firstHeaderRow="1" firstDataRow="1" firstDataCol="1"/>
  <pivotFields count="14"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dataField="1" compact="0" showAll="0">
      <items count="100">
        <item x="53"/>
        <item x="66"/>
        <item x="42"/>
        <item x="61"/>
        <item x="6"/>
        <item x="83"/>
        <item x="39"/>
        <item x="59"/>
        <item x="28"/>
        <item x="9"/>
        <item x="35"/>
        <item x="30"/>
        <item x="81"/>
        <item x="63"/>
        <item x="78"/>
        <item x="0"/>
        <item x="89"/>
        <item x="98"/>
        <item x="26"/>
        <item x="52"/>
        <item x="43"/>
        <item x="3"/>
        <item x="44"/>
        <item x="13"/>
        <item x="7"/>
        <item x="46"/>
        <item x="54"/>
        <item x="40"/>
        <item x="77"/>
        <item x="12"/>
        <item x="15"/>
        <item x="29"/>
        <item x="50"/>
        <item x="32"/>
        <item x="55"/>
        <item x="91"/>
        <item x="87"/>
        <item x="82"/>
        <item x="51"/>
        <item x="69"/>
        <item x="86"/>
        <item x="5"/>
        <item x="10"/>
        <item x="93"/>
        <item x="92"/>
        <item x="36"/>
        <item x="56"/>
        <item x="34"/>
        <item x="74"/>
        <item x="47"/>
        <item x="70"/>
        <item x="4"/>
        <item x="60"/>
        <item x="94"/>
        <item x="68"/>
        <item x="62"/>
        <item x="16"/>
        <item x="21"/>
        <item x="37"/>
        <item x="45"/>
        <item x="71"/>
        <item x="41"/>
        <item x="27"/>
        <item x="2"/>
        <item x="33"/>
        <item x="79"/>
        <item x="17"/>
        <item x="1"/>
        <item x="73"/>
        <item x="25"/>
        <item x="84"/>
        <item x="67"/>
        <item x="18"/>
        <item x="49"/>
        <item x="20"/>
        <item x="75"/>
        <item x="97"/>
        <item x="11"/>
        <item x="65"/>
        <item x="38"/>
        <item x="72"/>
        <item x="14"/>
        <item x="90"/>
        <item x="22"/>
        <item x="23"/>
        <item x="88"/>
        <item x="95"/>
        <item x="57"/>
        <item x="64"/>
        <item x="58"/>
        <item x="85"/>
        <item x="31"/>
        <item x="96"/>
        <item x="48"/>
        <item x="24"/>
        <item x="80"/>
        <item x="76"/>
        <item x="19"/>
        <item x="8"/>
        <item t="default"/>
      </items>
    </pivotField>
    <pivotField compact="0" numFmtId="166" showAll="0"/>
    <pivotField compact="0" showAll="0"/>
    <pivotField compact="0" showAll="0"/>
    <pivotField compact="0" showAll="0"/>
    <pivotField compact="0" showAll="0"/>
    <pivotField compact="0" showAll="0"/>
    <pivotField compact="0" numFmtId="166" showAll="0"/>
    <pivotField compact="0" showAll="0"/>
    <pivotField compact="0" showAll="0"/>
    <pivotField compact="0" showAll="0"/>
    <pivotField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P3:Q8" firstHeaderRow="1" firstDataRow="1" firstDataCol="1"/>
  <pivotFields count="14"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/>
    <pivotField dataField="1" compact="0" showAll="0">
      <items count="100">
        <item x="53"/>
        <item x="66"/>
        <item x="42"/>
        <item x="61"/>
        <item x="6"/>
        <item x="83"/>
        <item x="39"/>
        <item x="59"/>
        <item x="28"/>
        <item x="9"/>
        <item x="35"/>
        <item x="30"/>
        <item x="81"/>
        <item x="63"/>
        <item x="78"/>
        <item x="0"/>
        <item x="89"/>
        <item x="98"/>
        <item x="26"/>
        <item x="52"/>
        <item x="43"/>
        <item x="3"/>
        <item x="44"/>
        <item x="13"/>
        <item x="7"/>
        <item x="46"/>
        <item x="54"/>
        <item x="40"/>
        <item x="77"/>
        <item x="12"/>
        <item x="15"/>
        <item x="29"/>
        <item x="50"/>
        <item x="32"/>
        <item x="55"/>
        <item x="91"/>
        <item x="87"/>
        <item x="82"/>
        <item x="51"/>
        <item x="69"/>
        <item x="86"/>
        <item x="5"/>
        <item x="10"/>
        <item x="93"/>
        <item x="92"/>
        <item x="36"/>
        <item x="56"/>
        <item x="34"/>
        <item x="74"/>
        <item x="47"/>
        <item x="70"/>
        <item x="4"/>
        <item x="60"/>
        <item x="94"/>
        <item x="68"/>
        <item x="62"/>
        <item x="16"/>
        <item x="21"/>
        <item x="37"/>
        <item x="45"/>
        <item x="71"/>
        <item x="41"/>
        <item x="27"/>
        <item x="2"/>
        <item x="33"/>
        <item x="79"/>
        <item x="17"/>
        <item x="1"/>
        <item x="73"/>
        <item x="25"/>
        <item x="84"/>
        <item x="67"/>
        <item x="18"/>
        <item x="49"/>
        <item x="20"/>
        <item x="75"/>
        <item x="97"/>
        <item x="11"/>
        <item x="65"/>
        <item x="38"/>
        <item x="72"/>
        <item x="14"/>
        <item x="90"/>
        <item x="22"/>
        <item x="23"/>
        <item x="88"/>
        <item x="95"/>
        <item x="57"/>
        <item x="64"/>
        <item x="58"/>
        <item x="85"/>
        <item x="31"/>
        <item x="96"/>
        <item x="48"/>
        <item x="24"/>
        <item x="80"/>
        <item x="76"/>
        <item x="19"/>
        <item x="8"/>
        <item t="default"/>
      </items>
    </pivotField>
    <pivotField compact="0" numFmtId="166" showAll="0"/>
    <pivotField axis="axisRow" compact="0" showAll="0">
      <items count="5">
        <item x="0"/>
        <item x="2"/>
        <item x="3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numFmtId="166" showAll="0"/>
    <pivotField compact="0" showAll="0"/>
    <pivotField compact="0" showAll="0"/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P11:Q17" firstHeaderRow="1" firstDataRow="1" firstDataCol="1"/>
  <pivotFields count="14"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compact="0" showAll="0"/>
    <pivotField dataField="1" compact="0" showAll="0">
      <items count="100">
        <item x="53"/>
        <item x="66"/>
        <item x="42"/>
        <item x="61"/>
        <item x="6"/>
        <item x="83"/>
        <item x="39"/>
        <item x="59"/>
        <item x="28"/>
        <item x="9"/>
        <item x="35"/>
        <item x="30"/>
        <item x="81"/>
        <item x="63"/>
        <item x="78"/>
        <item x="0"/>
        <item x="89"/>
        <item x="98"/>
        <item x="26"/>
        <item x="52"/>
        <item x="43"/>
        <item x="3"/>
        <item x="44"/>
        <item x="13"/>
        <item x="7"/>
        <item x="46"/>
        <item x="54"/>
        <item x="40"/>
        <item x="77"/>
        <item x="12"/>
        <item x="15"/>
        <item x="29"/>
        <item x="50"/>
        <item x="32"/>
        <item x="55"/>
        <item x="91"/>
        <item x="87"/>
        <item x="82"/>
        <item x="51"/>
        <item x="69"/>
        <item x="86"/>
        <item x="5"/>
        <item x="10"/>
        <item x="93"/>
        <item x="92"/>
        <item x="36"/>
        <item x="56"/>
        <item x="34"/>
        <item x="74"/>
        <item x="47"/>
        <item x="70"/>
        <item x="4"/>
        <item x="60"/>
        <item x="94"/>
        <item x="68"/>
        <item x="62"/>
        <item x="16"/>
        <item x="21"/>
        <item x="37"/>
        <item x="45"/>
        <item x="71"/>
        <item x="41"/>
        <item x="27"/>
        <item x="2"/>
        <item x="33"/>
        <item x="79"/>
        <item x="17"/>
        <item x="1"/>
        <item x="73"/>
        <item x="25"/>
        <item x="84"/>
        <item x="67"/>
        <item x="18"/>
        <item x="49"/>
        <item x="20"/>
        <item x="75"/>
        <item x="97"/>
        <item x="11"/>
        <item x="65"/>
        <item x="38"/>
        <item x="72"/>
        <item x="14"/>
        <item x="90"/>
        <item x="22"/>
        <item x="23"/>
        <item x="88"/>
        <item x="95"/>
        <item x="57"/>
        <item x="64"/>
        <item x="58"/>
        <item x="85"/>
        <item x="31"/>
        <item x="96"/>
        <item x="48"/>
        <item x="24"/>
        <item x="80"/>
        <item x="76"/>
        <item x="19"/>
        <item x="8"/>
        <item t="default"/>
      </items>
    </pivotField>
    <pivotField compact="0" numFmtId="166" showAll="0"/>
    <pivotField compact="0" showAll="0"/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/>
    <pivotField compact="0" showAll="0"/>
    <pivotField compact="0" numFmtId="166" showAll="0"/>
    <pivotField compact="0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topLeftCell="A16" zoomScale="70" zoomScaleNormal="70" workbookViewId="0">
      <selection activeCell="Q35" sqref="Q35"/>
    </sheetView>
  </sheetViews>
  <sheetFormatPr defaultColWidth="12.5703125" defaultRowHeight="15" customHeight="1"/>
  <cols>
    <col min="1" max="1" width="12.5703125" customWidth="1"/>
    <col min="2" max="2" width="14.42578125" customWidth="1"/>
    <col min="3" max="6" width="12.5703125" customWidth="1"/>
    <col min="16" max="16" width="15.42578125"/>
    <col min="17" max="17" width="13"/>
  </cols>
  <sheetData>
    <row r="1" spans="1:1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ht="15.75" customHeight="1">
      <c r="A2" s="2" t="s">
        <v>14</v>
      </c>
      <c r="B2" s="3" t="str">
        <f t="shared" ref="B2:B65" si="0">TEXT(D2,"MMMM")</f>
        <v>March</v>
      </c>
      <c r="C2" s="2">
        <v>713.49</v>
      </c>
      <c r="D2" s="3">
        <v>45015</v>
      </c>
      <c r="E2" s="2" t="s">
        <v>15</v>
      </c>
      <c r="F2" s="2" t="s">
        <v>16</v>
      </c>
      <c r="G2" s="2">
        <f t="shared" ref="G2:G65" si="1">C2*10%</f>
        <v>71.349000000000004</v>
      </c>
      <c r="H2" s="2">
        <f t="shared" ref="H2:H65" si="2">C2-G2</f>
        <v>642.14099999999996</v>
      </c>
      <c r="I2" s="2">
        <v>3</v>
      </c>
      <c r="J2" s="3">
        <v>45017</v>
      </c>
      <c r="K2" s="2" t="s">
        <v>17</v>
      </c>
      <c r="L2" s="2" t="s">
        <v>18</v>
      </c>
      <c r="M2" s="2">
        <v>114.72</v>
      </c>
      <c r="N2" s="2" t="s">
        <v>19</v>
      </c>
    </row>
    <row r="3" spans="1:17" ht="15.75" customHeight="1">
      <c r="A3" s="2" t="s">
        <v>20</v>
      </c>
      <c r="B3" s="3" t="str">
        <f t="shared" si="0"/>
        <v>August</v>
      </c>
      <c r="C3" s="2">
        <v>3802.97</v>
      </c>
      <c r="D3" s="3">
        <v>45166</v>
      </c>
      <c r="E3" s="2" t="s">
        <v>21</v>
      </c>
      <c r="F3" s="2" t="s">
        <v>22</v>
      </c>
      <c r="G3" s="2">
        <f t="shared" si="1"/>
        <v>380.29700000000003</v>
      </c>
      <c r="H3" s="2">
        <f t="shared" si="2"/>
        <v>3422.6729999999998</v>
      </c>
      <c r="I3" s="2">
        <v>4</v>
      </c>
      <c r="J3" s="3">
        <v>45172</v>
      </c>
      <c r="K3" s="2" t="s">
        <v>23</v>
      </c>
      <c r="L3" s="2" t="s">
        <v>24</v>
      </c>
      <c r="M3" s="2">
        <v>971.41</v>
      </c>
      <c r="N3" s="2" t="s">
        <v>25</v>
      </c>
      <c r="P3" t="s">
        <v>4</v>
      </c>
      <c r="Q3" t="s">
        <v>26</v>
      </c>
    </row>
    <row r="4" spans="1:17" ht="15.75" customHeight="1">
      <c r="A4" s="2" t="s">
        <v>27</v>
      </c>
      <c r="B4" s="3" t="str">
        <f t="shared" si="0"/>
        <v>March</v>
      </c>
      <c r="C4" s="2">
        <v>3588.97</v>
      </c>
      <c r="D4" s="3">
        <v>45360</v>
      </c>
      <c r="E4" s="2" t="s">
        <v>28</v>
      </c>
      <c r="F4" s="2" t="s">
        <v>29</v>
      </c>
      <c r="G4" s="2">
        <f t="shared" si="1"/>
        <v>358.89699999999999</v>
      </c>
      <c r="H4" s="2">
        <f t="shared" si="2"/>
        <v>3230.0729999999999</v>
      </c>
      <c r="I4" s="2">
        <v>7</v>
      </c>
      <c r="J4" s="3">
        <v>45366</v>
      </c>
      <c r="K4" s="2" t="s">
        <v>23</v>
      </c>
      <c r="L4" s="2" t="s">
        <v>30</v>
      </c>
      <c r="M4" s="2">
        <v>769.08</v>
      </c>
      <c r="N4" s="2" t="s">
        <v>31</v>
      </c>
      <c r="P4" t="s">
        <v>15</v>
      </c>
      <c r="Q4">
        <v>64698.13</v>
      </c>
    </row>
    <row r="5" spans="1:17" ht="15.75" customHeight="1">
      <c r="A5" s="2" t="s">
        <v>32</v>
      </c>
      <c r="B5" s="3" t="str">
        <f t="shared" si="0"/>
        <v>October</v>
      </c>
      <c r="C5" s="2">
        <v>1160.8599999999999</v>
      </c>
      <c r="D5" s="3">
        <v>45578</v>
      </c>
      <c r="E5" s="2" t="s">
        <v>15</v>
      </c>
      <c r="F5" s="2" t="s">
        <v>22</v>
      </c>
      <c r="G5" s="2">
        <f t="shared" si="1"/>
        <v>116.086</v>
      </c>
      <c r="H5" s="2">
        <f t="shared" si="2"/>
        <v>1044.7739999999999</v>
      </c>
      <c r="I5" s="2">
        <v>5</v>
      </c>
      <c r="J5" s="3">
        <v>45584</v>
      </c>
      <c r="K5" s="2" t="s">
        <v>17</v>
      </c>
      <c r="L5" s="2" t="s">
        <v>18</v>
      </c>
      <c r="M5" s="2">
        <v>71.61</v>
      </c>
      <c r="N5" s="2" t="s">
        <v>19</v>
      </c>
      <c r="P5" t="s">
        <v>28</v>
      </c>
      <c r="Q5">
        <v>48899.81</v>
      </c>
    </row>
    <row r="6" spans="1:17" ht="15.75" customHeight="1">
      <c r="A6" s="2" t="s">
        <v>33</v>
      </c>
      <c r="B6" s="3" t="str">
        <f t="shared" si="0"/>
        <v>April</v>
      </c>
      <c r="C6" s="2">
        <v>3071.32</v>
      </c>
      <c r="D6" s="3">
        <v>45022</v>
      </c>
      <c r="E6" s="2" t="s">
        <v>15</v>
      </c>
      <c r="F6" s="2" t="s">
        <v>22</v>
      </c>
      <c r="G6" s="2">
        <f t="shared" si="1"/>
        <v>307.13200000000001</v>
      </c>
      <c r="H6" s="2">
        <f t="shared" si="2"/>
        <v>2764.1880000000001</v>
      </c>
      <c r="I6" s="2">
        <v>7</v>
      </c>
      <c r="J6" s="3">
        <v>45025</v>
      </c>
      <c r="K6" s="2" t="s">
        <v>34</v>
      </c>
      <c r="L6" s="2" t="s">
        <v>30</v>
      </c>
      <c r="M6" s="2">
        <v>621.91999999999996</v>
      </c>
      <c r="N6" s="2" t="s">
        <v>31</v>
      </c>
      <c r="P6" t="s">
        <v>35</v>
      </c>
      <c r="Q6">
        <v>79445.070000000007</v>
      </c>
    </row>
    <row r="7" spans="1:17" ht="15.75" customHeight="1">
      <c r="A7" s="2" t="s">
        <v>36</v>
      </c>
      <c r="B7" s="3" t="str">
        <f t="shared" si="0"/>
        <v>July</v>
      </c>
      <c r="C7" s="2">
        <v>2566.1799999999998</v>
      </c>
      <c r="D7" s="3">
        <v>45108</v>
      </c>
      <c r="E7" s="2" t="s">
        <v>21</v>
      </c>
      <c r="F7" s="2" t="s">
        <v>37</v>
      </c>
      <c r="G7" s="2">
        <f t="shared" si="1"/>
        <v>256.61799999999999</v>
      </c>
      <c r="H7" s="2">
        <f t="shared" si="2"/>
        <v>2309.5619999999999</v>
      </c>
      <c r="I7" s="2">
        <v>6</v>
      </c>
      <c r="J7" s="3">
        <v>45111</v>
      </c>
      <c r="K7" s="2" t="s">
        <v>17</v>
      </c>
      <c r="L7" s="2" t="s">
        <v>18</v>
      </c>
      <c r="M7" s="2">
        <v>578.94000000000005</v>
      </c>
      <c r="N7" s="2" t="s">
        <v>38</v>
      </c>
      <c r="P7" t="s">
        <v>21</v>
      </c>
      <c r="Q7">
        <v>79967.58</v>
      </c>
    </row>
    <row r="8" spans="1:17" ht="15.75" customHeight="1">
      <c r="A8" s="2" t="s">
        <v>39</v>
      </c>
      <c r="B8" s="3" t="str">
        <f t="shared" si="0"/>
        <v>July</v>
      </c>
      <c r="C8" s="2">
        <v>398</v>
      </c>
      <c r="D8" s="3">
        <v>45119</v>
      </c>
      <c r="E8" s="2" t="s">
        <v>28</v>
      </c>
      <c r="F8" s="2" t="s">
        <v>40</v>
      </c>
      <c r="G8" s="2">
        <f t="shared" si="1"/>
        <v>39.799999999999997</v>
      </c>
      <c r="H8" s="2">
        <f t="shared" si="2"/>
        <v>358.2</v>
      </c>
      <c r="I8" s="2">
        <v>4</v>
      </c>
      <c r="J8" s="3">
        <v>45124</v>
      </c>
      <c r="K8" s="2" t="s">
        <v>34</v>
      </c>
      <c r="L8" s="2" t="s">
        <v>30</v>
      </c>
      <c r="M8" s="2">
        <v>110.31</v>
      </c>
      <c r="N8" s="2" t="s">
        <v>38</v>
      </c>
      <c r="P8" t="s">
        <v>41</v>
      </c>
      <c r="Q8">
        <v>273010.59000000003</v>
      </c>
    </row>
    <row r="9" spans="1:17" ht="15.75" customHeight="1">
      <c r="A9" s="2" t="s">
        <v>42</v>
      </c>
      <c r="B9" s="3" t="str">
        <f t="shared" si="0"/>
        <v>May</v>
      </c>
      <c r="C9" s="2">
        <v>1462.95</v>
      </c>
      <c r="D9" s="3">
        <v>45064</v>
      </c>
      <c r="E9" s="2" t="s">
        <v>28</v>
      </c>
      <c r="F9" s="2" t="s">
        <v>40</v>
      </c>
      <c r="G9" s="2">
        <f t="shared" si="1"/>
        <v>146.29499999999999</v>
      </c>
      <c r="H9" s="2">
        <f t="shared" si="2"/>
        <v>1316.655</v>
      </c>
      <c r="I9" s="2">
        <v>2</v>
      </c>
      <c r="J9" s="3">
        <v>45066</v>
      </c>
      <c r="K9" s="2" t="s">
        <v>23</v>
      </c>
      <c r="L9" s="2" t="s">
        <v>18</v>
      </c>
      <c r="M9" s="2">
        <v>91.68</v>
      </c>
      <c r="N9" s="2" t="s">
        <v>31</v>
      </c>
    </row>
    <row r="10" spans="1:17" ht="15.75" customHeight="1">
      <c r="A10" s="2" t="s">
        <v>43</v>
      </c>
      <c r="B10" s="3" t="str">
        <f t="shared" si="0"/>
        <v>January</v>
      </c>
      <c r="C10" s="2">
        <v>4997.47</v>
      </c>
      <c r="D10" s="3">
        <v>45296</v>
      </c>
      <c r="E10" s="2" t="s">
        <v>15</v>
      </c>
      <c r="F10" s="2" t="s">
        <v>40</v>
      </c>
      <c r="G10" s="2">
        <f t="shared" si="1"/>
        <v>499.74700000000001</v>
      </c>
      <c r="H10" s="2">
        <f t="shared" si="2"/>
        <v>4497.723</v>
      </c>
      <c r="I10" s="2">
        <v>6</v>
      </c>
      <c r="J10" s="3">
        <v>45299</v>
      </c>
      <c r="K10" s="2" t="s">
        <v>23</v>
      </c>
      <c r="L10" s="2" t="s">
        <v>24</v>
      </c>
      <c r="M10" s="2">
        <v>995.78</v>
      </c>
      <c r="N10" s="2" t="s">
        <v>44</v>
      </c>
    </row>
    <row r="11" spans="1:17" ht="15.75" customHeight="1">
      <c r="A11" s="2" t="s">
        <v>45</v>
      </c>
      <c r="B11" s="3" t="str">
        <f t="shared" si="0"/>
        <v>August</v>
      </c>
      <c r="C11" s="2">
        <v>587.72</v>
      </c>
      <c r="D11" s="3">
        <v>45514</v>
      </c>
      <c r="E11" s="2" t="s">
        <v>35</v>
      </c>
      <c r="F11" s="2" t="s">
        <v>37</v>
      </c>
      <c r="G11" s="2">
        <f t="shared" si="1"/>
        <v>58.771999999999998</v>
      </c>
      <c r="H11" s="2">
        <f t="shared" si="2"/>
        <v>528.94799999999998</v>
      </c>
      <c r="I11" s="2">
        <v>6</v>
      </c>
      <c r="J11" s="3">
        <v>45521</v>
      </c>
      <c r="K11" s="2" t="s">
        <v>34</v>
      </c>
      <c r="L11" s="2" t="s">
        <v>30</v>
      </c>
      <c r="M11" s="2">
        <v>102.96</v>
      </c>
      <c r="N11" s="2" t="s">
        <v>19</v>
      </c>
      <c r="P11" t="s">
        <v>5</v>
      </c>
      <c r="Q11" t="s">
        <v>26</v>
      </c>
    </row>
    <row r="12" spans="1:17" ht="15.75" customHeight="1">
      <c r="A12" s="2" t="s">
        <v>46</v>
      </c>
      <c r="B12" s="3" t="str">
        <f t="shared" si="0"/>
        <v>May</v>
      </c>
      <c r="C12" s="2">
        <v>2581.42</v>
      </c>
      <c r="D12" s="3">
        <v>45419</v>
      </c>
      <c r="E12" s="2" t="s">
        <v>15</v>
      </c>
      <c r="F12" s="2" t="s">
        <v>16</v>
      </c>
      <c r="G12" s="2">
        <f t="shared" si="1"/>
        <v>258.142</v>
      </c>
      <c r="H12" s="2">
        <f t="shared" si="2"/>
        <v>2323.2779999999998</v>
      </c>
      <c r="I12" s="2">
        <v>6</v>
      </c>
      <c r="J12" s="3">
        <v>45420</v>
      </c>
      <c r="K12" s="2" t="s">
        <v>23</v>
      </c>
      <c r="L12" s="2" t="s">
        <v>30</v>
      </c>
      <c r="M12" s="2">
        <v>542.82000000000005</v>
      </c>
      <c r="N12" s="2" t="s">
        <v>31</v>
      </c>
      <c r="P12" t="s">
        <v>16</v>
      </c>
      <c r="Q12">
        <v>64725.94</v>
      </c>
    </row>
    <row r="13" spans="1:17" ht="15.75" customHeight="1">
      <c r="A13" s="2" t="s">
        <v>47</v>
      </c>
      <c r="B13" s="3" t="str">
        <f t="shared" si="0"/>
        <v>September</v>
      </c>
      <c r="C13" s="2">
        <v>4261.74</v>
      </c>
      <c r="D13" s="3">
        <v>45171</v>
      </c>
      <c r="E13" s="2" t="s">
        <v>15</v>
      </c>
      <c r="F13" s="2" t="s">
        <v>16</v>
      </c>
      <c r="G13" s="2">
        <f t="shared" si="1"/>
        <v>426.17399999999998</v>
      </c>
      <c r="H13" s="2">
        <f t="shared" si="2"/>
        <v>3835.5659999999998</v>
      </c>
      <c r="I13" s="2">
        <v>1</v>
      </c>
      <c r="J13" s="3">
        <v>45172</v>
      </c>
      <c r="K13" s="2" t="s">
        <v>34</v>
      </c>
      <c r="L13" s="2" t="s">
        <v>18</v>
      </c>
      <c r="M13" s="2">
        <v>1028.47</v>
      </c>
      <c r="N13" s="2" t="s">
        <v>19</v>
      </c>
      <c r="P13" t="s">
        <v>22</v>
      </c>
      <c r="Q13">
        <v>63909.34</v>
      </c>
    </row>
    <row r="14" spans="1:17" ht="15.75" customHeight="1">
      <c r="A14" s="2" t="s">
        <v>48</v>
      </c>
      <c r="B14" s="3" t="str">
        <f t="shared" si="0"/>
        <v>February</v>
      </c>
      <c r="C14" s="2">
        <v>1573.19</v>
      </c>
      <c r="D14" s="3">
        <v>45331</v>
      </c>
      <c r="E14" s="2" t="s">
        <v>15</v>
      </c>
      <c r="F14" s="2" t="s">
        <v>29</v>
      </c>
      <c r="G14" s="2">
        <f t="shared" si="1"/>
        <v>157.31899999999999</v>
      </c>
      <c r="H14" s="2">
        <f t="shared" si="2"/>
        <v>1415.8710000000001</v>
      </c>
      <c r="I14" s="2">
        <v>6</v>
      </c>
      <c r="J14" s="3">
        <v>45338</v>
      </c>
      <c r="K14" s="2" t="s">
        <v>34</v>
      </c>
      <c r="L14" s="2" t="s">
        <v>30</v>
      </c>
      <c r="M14" s="2">
        <v>131.5</v>
      </c>
      <c r="N14" s="2" t="s">
        <v>31</v>
      </c>
      <c r="P14" t="s">
        <v>37</v>
      </c>
      <c r="Q14">
        <v>47599.8</v>
      </c>
    </row>
    <row r="15" spans="1:17" ht="15.75" customHeight="1">
      <c r="A15" s="2" t="s">
        <v>49</v>
      </c>
      <c r="B15" s="3" t="str">
        <f t="shared" si="0"/>
        <v>May</v>
      </c>
      <c r="C15" s="2">
        <v>1377.47</v>
      </c>
      <c r="D15" s="3">
        <v>45074</v>
      </c>
      <c r="E15" s="2" t="s">
        <v>15</v>
      </c>
      <c r="F15" s="2" t="s">
        <v>16</v>
      </c>
      <c r="G15" s="2">
        <f t="shared" si="1"/>
        <v>137.74700000000001</v>
      </c>
      <c r="H15" s="2">
        <f t="shared" si="2"/>
        <v>1239.723</v>
      </c>
      <c r="I15" s="2">
        <v>2</v>
      </c>
      <c r="J15" s="3">
        <v>45075</v>
      </c>
      <c r="K15" s="2" t="s">
        <v>17</v>
      </c>
      <c r="L15" s="2" t="s">
        <v>30</v>
      </c>
      <c r="M15" s="2">
        <v>255.49</v>
      </c>
      <c r="N15" s="2" t="s">
        <v>44</v>
      </c>
      <c r="P15" t="s">
        <v>29</v>
      </c>
      <c r="Q15">
        <v>50326.02</v>
      </c>
    </row>
    <row r="16" spans="1:17" ht="15.75" customHeight="1">
      <c r="A16" s="2" t="s">
        <v>50</v>
      </c>
      <c r="B16" s="3" t="str">
        <f t="shared" si="0"/>
        <v>January</v>
      </c>
      <c r="C16" s="2">
        <v>4464.8900000000003</v>
      </c>
      <c r="D16" s="3">
        <v>45296</v>
      </c>
      <c r="E16" s="2" t="s">
        <v>21</v>
      </c>
      <c r="F16" s="2" t="s">
        <v>16</v>
      </c>
      <c r="G16" s="2">
        <f t="shared" si="1"/>
        <v>446.48899999999998</v>
      </c>
      <c r="H16" s="2">
        <f t="shared" si="2"/>
        <v>4018.4009999999998</v>
      </c>
      <c r="I16" s="2">
        <v>5</v>
      </c>
      <c r="J16" s="3">
        <v>45303</v>
      </c>
      <c r="K16" s="2" t="s">
        <v>23</v>
      </c>
      <c r="L16" s="2" t="s">
        <v>18</v>
      </c>
      <c r="M16" s="2">
        <v>804.36</v>
      </c>
      <c r="N16" s="2" t="s">
        <v>19</v>
      </c>
      <c r="P16" t="s">
        <v>40</v>
      </c>
      <c r="Q16">
        <v>46449.49</v>
      </c>
    </row>
    <row r="17" spans="1:17" ht="15.75" customHeight="1">
      <c r="A17" s="2" t="s">
        <v>51</v>
      </c>
      <c r="B17" s="3" t="str">
        <f t="shared" si="0"/>
        <v>October</v>
      </c>
      <c r="C17" s="2">
        <v>1593.67</v>
      </c>
      <c r="D17" s="3">
        <v>45583</v>
      </c>
      <c r="E17" s="2" t="s">
        <v>28</v>
      </c>
      <c r="F17" s="2" t="s">
        <v>40</v>
      </c>
      <c r="G17" s="2">
        <f t="shared" si="1"/>
        <v>159.36699999999999</v>
      </c>
      <c r="H17" s="2">
        <f t="shared" si="2"/>
        <v>1434.3030000000001</v>
      </c>
      <c r="I17" s="2">
        <v>7</v>
      </c>
      <c r="J17" s="3">
        <v>45587</v>
      </c>
      <c r="K17" s="2" t="s">
        <v>17</v>
      </c>
      <c r="L17" s="2" t="s">
        <v>24</v>
      </c>
      <c r="M17" s="2">
        <v>284.91000000000003</v>
      </c>
      <c r="N17" s="2" t="s">
        <v>52</v>
      </c>
      <c r="P17" t="s">
        <v>41</v>
      </c>
      <c r="Q17">
        <v>273010.59000000003</v>
      </c>
    </row>
    <row r="18" spans="1:17" ht="15.75" customHeight="1">
      <c r="A18" s="2" t="s">
        <v>53</v>
      </c>
      <c r="B18" s="3" t="str">
        <f t="shared" si="0"/>
        <v>April</v>
      </c>
      <c r="C18" s="2">
        <v>3292.32</v>
      </c>
      <c r="D18" s="3">
        <v>45042</v>
      </c>
      <c r="E18" s="2" t="s">
        <v>21</v>
      </c>
      <c r="F18" s="2" t="s">
        <v>22</v>
      </c>
      <c r="G18" s="2">
        <f t="shared" si="1"/>
        <v>329.23200000000003</v>
      </c>
      <c r="H18" s="2">
        <f t="shared" si="2"/>
        <v>2963.0880000000002</v>
      </c>
      <c r="I18" s="2">
        <v>1</v>
      </c>
      <c r="J18" s="3">
        <v>45043</v>
      </c>
      <c r="K18" s="2" t="s">
        <v>17</v>
      </c>
      <c r="L18" s="2" t="s">
        <v>24</v>
      </c>
      <c r="M18" s="2">
        <v>504.83</v>
      </c>
      <c r="N18" s="2" t="s">
        <v>38</v>
      </c>
    </row>
    <row r="19" spans="1:17" ht="15.75" customHeight="1">
      <c r="A19" s="2" t="s">
        <v>54</v>
      </c>
      <c r="B19" s="3" t="str">
        <f t="shared" si="0"/>
        <v>October</v>
      </c>
      <c r="C19" s="2">
        <v>3727.53</v>
      </c>
      <c r="D19" s="3">
        <v>45228</v>
      </c>
      <c r="E19" s="2" t="s">
        <v>21</v>
      </c>
      <c r="F19" s="2" t="s">
        <v>16</v>
      </c>
      <c r="G19" s="2">
        <f t="shared" si="1"/>
        <v>372.75299999999999</v>
      </c>
      <c r="H19" s="2">
        <f t="shared" si="2"/>
        <v>3354.777</v>
      </c>
      <c r="I19" s="2">
        <v>5</v>
      </c>
      <c r="J19" s="3">
        <v>45235</v>
      </c>
      <c r="K19" s="2" t="s">
        <v>23</v>
      </c>
      <c r="L19" s="2" t="s">
        <v>24</v>
      </c>
      <c r="M19" s="2">
        <v>978.07</v>
      </c>
      <c r="N19" s="2" t="s">
        <v>52</v>
      </c>
    </row>
    <row r="20" spans="1:17" ht="15.75" customHeight="1">
      <c r="A20" s="2" t="s">
        <v>55</v>
      </c>
      <c r="B20" s="3" t="str">
        <f t="shared" si="0"/>
        <v>June</v>
      </c>
      <c r="C20" s="2">
        <v>3964.23</v>
      </c>
      <c r="D20" s="3">
        <v>45448</v>
      </c>
      <c r="E20" s="2" t="s">
        <v>21</v>
      </c>
      <c r="F20" s="2" t="s">
        <v>16</v>
      </c>
      <c r="G20" s="2">
        <f t="shared" si="1"/>
        <v>396.423</v>
      </c>
      <c r="H20" s="2">
        <f t="shared" si="2"/>
        <v>3567.8069999999998</v>
      </c>
      <c r="I20" s="2">
        <v>9</v>
      </c>
      <c r="J20" s="3">
        <v>45451</v>
      </c>
      <c r="K20" s="2" t="s">
        <v>17</v>
      </c>
      <c r="L20" s="2" t="s">
        <v>18</v>
      </c>
      <c r="M20" s="2">
        <v>260.95</v>
      </c>
      <c r="N20" s="2" t="s">
        <v>31</v>
      </c>
      <c r="P20" t="s">
        <v>1</v>
      </c>
      <c r="Q20" t="s">
        <v>26</v>
      </c>
    </row>
    <row r="21" spans="1:17" ht="15.75" customHeight="1">
      <c r="A21" s="2" t="s">
        <v>56</v>
      </c>
      <c r="B21" s="3" t="str">
        <f t="shared" si="0"/>
        <v>May</v>
      </c>
      <c r="C21" s="2">
        <v>4974.32</v>
      </c>
      <c r="D21" s="3">
        <v>45047</v>
      </c>
      <c r="E21" s="2" t="s">
        <v>15</v>
      </c>
      <c r="F21" s="2" t="s">
        <v>37</v>
      </c>
      <c r="G21" s="2">
        <f t="shared" si="1"/>
        <v>497.43200000000002</v>
      </c>
      <c r="H21" s="2">
        <f t="shared" si="2"/>
        <v>4476.8879999999999</v>
      </c>
      <c r="I21" s="2">
        <v>3</v>
      </c>
      <c r="J21" s="3">
        <v>45051</v>
      </c>
      <c r="K21" s="2" t="s">
        <v>23</v>
      </c>
      <c r="L21" s="2" t="s">
        <v>24</v>
      </c>
      <c r="M21" s="2">
        <v>727.29</v>
      </c>
      <c r="N21" s="2" t="s">
        <v>44</v>
      </c>
      <c r="P21" t="s">
        <v>57</v>
      </c>
      <c r="Q21">
        <v>29201.87</v>
      </c>
    </row>
    <row r="22" spans="1:17" ht="15.75" customHeight="1">
      <c r="A22" s="2" t="s">
        <v>58</v>
      </c>
      <c r="B22" s="3" t="str">
        <f t="shared" si="0"/>
        <v>October</v>
      </c>
      <c r="C22" s="2">
        <v>4035.64</v>
      </c>
      <c r="D22" s="3">
        <v>45586</v>
      </c>
      <c r="E22" s="2" t="s">
        <v>35</v>
      </c>
      <c r="F22" s="2" t="s">
        <v>29</v>
      </c>
      <c r="G22" s="2">
        <f t="shared" si="1"/>
        <v>403.56400000000002</v>
      </c>
      <c r="H22" s="2">
        <f t="shared" si="2"/>
        <v>3632.076</v>
      </c>
      <c r="I22" s="2">
        <v>2</v>
      </c>
      <c r="J22" s="3">
        <v>45593</v>
      </c>
      <c r="K22" s="2" t="s">
        <v>23</v>
      </c>
      <c r="L22" s="2" t="s">
        <v>30</v>
      </c>
      <c r="M22" s="2">
        <v>798.81</v>
      </c>
      <c r="N22" s="2" t="s">
        <v>44</v>
      </c>
      <c r="P22" t="s">
        <v>59</v>
      </c>
      <c r="Q22">
        <v>8270.5300000000007</v>
      </c>
    </row>
    <row r="23" spans="1:17" ht="15.75" customHeight="1">
      <c r="A23" s="2" t="s">
        <v>60</v>
      </c>
      <c r="B23" s="3" t="str">
        <f t="shared" si="0"/>
        <v>August</v>
      </c>
      <c r="C23" s="2">
        <v>3319.36</v>
      </c>
      <c r="D23" s="3">
        <v>45153</v>
      </c>
      <c r="E23" s="2" t="s">
        <v>28</v>
      </c>
      <c r="F23" s="2" t="s">
        <v>37</v>
      </c>
      <c r="G23" s="2">
        <f t="shared" si="1"/>
        <v>331.93599999999998</v>
      </c>
      <c r="H23" s="2">
        <f t="shared" si="2"/>
        <v>2987.424</v>
      </c>
      <c r="I23" s="2">
        <v>2</v>
      </c>
      <c r="J23" s="3">
        <v>45159</v>
      </c>
      <c r="K23" s="2" t="s">
        <v>17</v>
      </c>
      <c r="L23" s="2" t="s">
        <v>30</v>
      </c>
      <c r="M23" s="2">
        <v>920.22</v>
      </c>
      <c r="N23" s="2" t="s">
        <v>31</v>
      </c>
      <c r="P23" t="s">
        <v>61</v>
      </c>
      <c r="Q23">
        <v>25901.99</v>
      </c>
    </row>
    <row r="24" spans="1:17" ht="15.75" customHeight="1">
      <c r="A24" s="2" t="s">
        <v>62</v>
      </c>
      <c r="B24" s="3" t="str">
        <f t="shared" si="0"/>
        <v>December</v>
      </c>
      <c r="C24" s="2">
        <v>4487.7700000000004</v>
      </c>
      <c r="D24" s="3">
        <v>45657</v>
      </c>
      <c r="E24" s="2" t="s">
        <v>35</v>
      </c>
      <c r="F24" s="2" t="s">
        <v>40</v>
      </c>
      <c r="G24" s="2">
        <f t="shared" si="1"/>
        <v>448.77699999999999</v>
      </c>
      <c r="H24" s="2">
        <f t="shared" si="2"/>
        <v>4038.9929999999999</v>
      </c>
      <c r="I24" s="2">
        <v>3</v>
      </c>
      <c r="J24" s="3">
        <v>45659</v>
      </c>
      <c r="K24" s="2" t="s">
        <v>23</v>
      </c>
      <c r="L24" s="2" t="s">
        <v>24</v>
      </c>
      <c r="M24" s="2">
        <v>931.37</v>
      </c>
      <c r="N24" s="2" t="s">
        <v>19</v>
      </c>
      <c r="P24" t="s">
        <v>63</v>
      </c>
      <c r="Q24">
        <v>16177.59</v>
      </c>
    </row>
    <row r="25" spans="1:17" ht="15.75" customHeight="1">
      <c r="A25" s="2" t="s">
        <v>64</v>
      </c>
      <c r="B25" s="3" t="str">
        <f t="shared" si="0"/>
        <v>March</v>
      </c>
      <c r="C25" s="2">
        <v>4538.1499999999996</v>
      </c>
      <c r="D25" s="3">
        <v>45005</v>
      </c>
      <c r="E25" s="2" t="s">
        <v>21</v>
      </c>
      <c r="F25" s="2" t="s">
        <v>22</v>
      </c>
      <c r="G25" s="2">
        <f t="shared" si="1"/>
        <v>453.815</v>
      </c>
      <c r="H25" s="2">
        <f t="shared" si="2"/>
        <v>4084.335</v>
      </c>
      <c r="I25" s="2">
        <v>1</v>
      </c>
      <c r="J25" s="3">
        <v>45008</v>
      </c>
      <c r="K25" s="2" t="s">
        <v>23</v>
      </c>
      <c r="L25" s="2" t="s">
        <v>30</v>
      </c>
      <c r="M25" s="2">
        <v>375.7</v>
      </c>
      <c r="N25" s="2" t="s">
        <v>44</v>
      </c>
      <c r="P25" t="s">
        <v>65</v>
      </c>
      <c r="Q25">
        <v>25203.38</v>
      </c>
    </row>
    <row r="26" spans="1:17" ht="15.75" customHeight="1">
      <c r="A26" s="2" t="s">
        <v>66</v>
      </c>
      <c r="B26" s="3" t="str">
        <f t="shared" si="0"/>
        <v>December</v>
      </c>
      <c r="C26" s="2">
        <v>4868.5200000000004</v>
      </c>
      <c r="D26" s="3">
        <v>45272</v>
      </c>
      <c r="E26" s="2" t="s">
        <v>21</v>
      </c>
      <c r="F26" s="2" t="s">
        <v>29</v>
      </c>
      <c r="G26" s="2">
        <f t="shared" si="1"/>
        <v>486.85199999999998</v>
      </c>
      <c r="H26" s="2">
        <f t="shared" si="2"/>
        <v>4381.6679999999997</v>
      </c>
      <c r="I26" s="2">
        <v>2</v>
      </c>
      <c r="J26" s="3">
        <v>45273</v>
      </c>
      <c r="K26" s="2" t="s">
        <v>23</v>
      </c>
      <c r="L26" s="2" t="s">
        <v>30</v>
      </c>
      <c r="M26" s="2">
        <v>1072.26</v>
      </c>
      <c r="N26" s="2" t="s">
        <v>38</v>
      </c>
      <c r="P26" t="s">
        <v>67</v>
      </c>
      <c r="Q26">
        <v>26211.97</v>
      </c>
    </row>
    <row r="27" spans="1:17" ht="15.75" customHeight="1">
      <c r="A27" s="2" t="s">
        <v>68</v>
      </c>
      <c r="B27" s="3" t="str">
        <f t="shared" si="0"/>
        <v>May</v>
      </c>
      <c r="C27" s="2">
        <v>3904.68</v>
      </c>
      <c r="D27" s="3">
        <v>45066</v>
      </c>
      <c r="E27" s="2" t="s">
        <v>35</v>
      </c>
      <c r="F27" s="2" t="s">
        <v>37</v>
      </c>
      <c r="G27" s="2">
        <f t="shared" si="1"/>
        <v>390.46800000000002</v>
      </c>
      <c r="H27" s="2">
        <f t="shared" si="2"/>
        <v>3514.212</v>
      </c>
      <c r="I27" s="2">
        <v>6</v>
      </c>
      <c r="J27" s="3">
        <v>45072</v>
      </c>
      <c r="K27" s="2" t="s">
        <v>23</v>
      </c>
      <c r="L27" s="2" t="s">
        <v>24</v>
      </c>
      <c r="M27" s="2">
        <v>526.66</v>
      </c>
      <c r="N27" s="2" t="s">
        <v>25</v>
      </c>
      <c r="P27" t="s">
        <v>69</v>
      </c>
      <c r="Q27">
        <v>15760.08</v>
      </c>
    </row>
    <row r="28" spans="1:17" ht="15.75" customHeight="1">
      <c r="A28" s="2" t="s">
        <v>70</v>
      </c>
      <c r="B28" s="3" t="str">
        <f t="shared" si="0"/>
        <v>June</v>
      </c>
      <c r="C28" s="2">
        <v>1055.1400000000001</v>
      </c>
      <c r="D28" s="3">
        <v>45462</v>
      </c>
      <c r="E28" s="2" t="s">
        <v>35</v>
      </c>
      <c r="F28" s="2" t="s">
        <v>16</v>
      </c>
      <c r="G28" s="2">
        <f t="shared" si="1"/>
        <v>105.514</v>
      </c>
      <c r="H28" s="2">
        <f t="shared" si="2"/>
        <v>949.62599999999998</v>
      </c>
      <c r="I28" s="2">
        <v>8</v>
      </c>
      <c r="J28" s="3">
        <v>45468</v>
      </c>
      <c r="K28" s="2" t="s">
        <v>17</v>
      </c>
      <c r="L28" s="2" t="s">
        <v>18</v>
      </c>
      <c r="M28" s="2">
        <v>207.61</v>
      </c>
      <c r="N28" s="2" t="s">
        <v>52</v>
      </c>
      <c r="P28" t="s">
        <v>71</v>
      </c>
      <c r="Q28">
        <v>15009.84</v>
      </c>
    </row>
    <row r="29" spans="1:17" ht="15.75" customHeight="1">
      <c r="A29" s="2" t="s">
        <v>72</v>
      </c>
      <c r="B29" s="3" t="str">
        <f t="shared" si="0"/>
        <v>October</v>
      </c>
      <c r="C29" s="2">
        <v>3578.05</v>
      </c>
      <c r="D29" s="3">
        <v>45215</v>
      </c>
      <c r="E29" s="2" t="s">
        <v>35</v>
      </c>
      <c r="F29" s="2" t="s">
        <v>16</v>
      </c>
      <c r="G29" s="2">
        <f t="shared" si="1"/>
        <v>357.80500000000001</v>
      </c>
      <c r="H29" s="2">
        <f t="shared" si="2"/>
        <v>3220.2449999999999</v>
      </c>
      <c r="I29" s="2">
        <v>4</v>
      </c>
      <c r="J29" s="3">
        <v>45217</v>
      </c>
      <c r="K29" s="2" t="s">
        <v>34</v>
      </c>
      <c r="L29" s="2" t="s">
        <v>24</v>
      </c>
      <c r="M29" s="2">
        <v>689.74</v>
      </c>
      <c r="N29" s="2" t="s">
        <v>38</v>
      </c>
      <c r="P29" t="s">
        <v>73</v>
      </c>
      <c r="Q29">
        <v>29150.51</v>
      </c>
    </row>
    <row r="30" spans="1:17" ht="15.75" customHeight="1">
      <c r="A30" s="2" t="s">
        <v>74</v>
      </c>
      <c r="B30" s="3" t="str">
        <f t="shared" si="0"/>
        <v>November</v>
      </c>
      <c r="C30" s="2">
        <v>468.13</v>
      </c>
      <c r="D30" s="3">
        <v>45255</v>
      </c>
      <c r="E30" s="2" t="s">
        <v>21</v>
      </c>
      <c r="F30" s="2" t="s">
        <v>29</v>
      </c>
      <c r="G30" s="2">
        <f t="shared" si="1"/>
        <v>46.813000000000002</v>
      </c>
      <c r="H30" s="2">
        <f t="shared" si="2"/>
        <v>421.31700000000001</v>
      </c>
      <c r="I30" s="2">
        <v>2</v>
      </c>
      <c r="J30" s="3">
        <v>45261</v>
      </c>
      <c r="K30" s="2" t="s">
        <v>17</v>
      </c>
      <c r="L30" s="2" t="s">
        <v>18</v>
      </c>
      <c r="M30" s="2">
        <v>43.58</v>
      </c>
      <c r="N30" s="2" t="s">
        <v>25</v>
      </c>
      <c r="P30" t="s">
        <v>75</v>
      </c>
      <c r="Q30">
        <v>22902.71</v>
      </c>
    </row>
    <row r="31" spans="1:17" ht="15.75" customHeight="1">
      <c r="A31" s="2" t="s">
        <v>76</v>
      </c>
      <c r="B31" s="3" t="str">
        <f t="shared" si="0"/>
        <v>March</v>
      </c>
      <c r="C31" s="2">
        <v>1658.02</v>
      </c>
      <c r="D31" s="3">
        <v>45356</v>
      </c>
      <c r="E31" s="2" t="s">
        <v>21</v>
      </c>
      <c r="F31" s="2" t="s">
        <v>16</v>
      </c>
      <c r="G31" s="2">
        <f t="shared" si="1"/>
        <v>165.80199999999999</v>
      </c>
      <c r="H31" s="2">
        <f t="shared" si="2"/>
        <v>1492.2180000000001</v>
      </c>
      <c r="I31" s="2">
        <v>5</v>
      </c>
      <c r="J31" s="3">
        <v>45357</v>
      </c>
      <c r="K31" s="2" t="s">
        <v>34</v>
      </c>
      <c r="L31" s="2" t="s">
        <v>30</v>
      </c>
      <c r="M31" s="2">
        <v>422.33</v>
      </c>
      <c r="N31" s="2" t="s">
        <v>44</v>
      </c>
      <c r="P31" t="s">
        <v>77</v>
      </c>
      <c r="Q31">
        <v>29980.82</v>
      </c>
    </row>
    <row r="32" spans="1:17" ht="15.75" customHeight="1">
      <c r="A32" s="2" t="s">
        <v>78</v>
      </c>
      <c r="B32" s="3" t="str">
        <f t="shared" si="0"/>
        <v>April</v>
      </c>
      <c r="C32" s="2">
        <v>667.46</v>
      </c>
      <c r="D32" s="3">
        <v>45026</v>
      </c>
      <c r="E32" s="2" t="s">
        <v>28</v>
      </c>
      <c r="F32" s="2" t="s">
        <v>37</v>
      </c>
      <c r="G32" s="2">
        <f t="shared" si="1"/>
        <v>66.745999999999995</v>
      </c>
      <c r="H32" s="2">
        <f t="shared" si="2"/>
        <v>600.71400000000006</v>
      </c>
      <c r="I32" s="2">
        <v>3</v>
      </c>
      <c r="J32" s="3">
        <v>45031</v>
      </c>
      <c r="K32" s="2" t="s">
        <v>34</v>
      </c>
      <c r="L32" s="2" t="s">
        <v>24</v>
      </c>
      <c r="M32" s="2">
        <v>123.49</v>
      </c>
      <c r="N32" s="2" t="s">
        <v>19</v>
      </c>
      <c r="P32" t="s">
        <v>79</v>
      </c>
      <c r="Q32">
        <v>29239.3</v>
      </c>
    </row>
    <row r="33" spans="1:17" ht="15.75" customHeight="1">
      <c r="A33" s="2" t="s">
        <v>80</v>
      </c>
      <c r="B33" s="3" t="str">
        <f t="shared" si="0"/>
        <v>August</v>
      </c>
      <c r="C33" s="2">
        <v>4754.72</v>
      </c>
      <c r="D33" s="3">
        <v>45527</v>
      </c>
      <c r="E33" s="2" t="s">
        <v>28</v>
      </c>
      <c r="F33" s="2" t="s">
        <v>37</v>
      </c>
      <c r="G33" s="2">
        <f t="shared" si="1"/>
        <v>475.47199999999998</v>
      </c>
      <c r="H33" s="2">
        <f t="shared" si="2"/>
        <v>4279.2479999999996</v>
      </c>
      <c r="I33" s="2">
        <v>5</v>
      </c>
      <c r="J33" s="3">
        <v>45531</v>
      </c>
      <c r="K33" s="2" t="s">
        <v>34</v>
      </c>
      <c r="L33" s="2" t="s">
        <v>30</v>
      </c>
      <c r="M33" s="2">
        <v>697.03</v>
      </c>
      <c r="N33" s="2" t="s">
        <v>52</v>
      </c>
      <c r="P33" t="s">
        <v>41</v>
      </c>
      <c r="Q33">
        <v>273010.59000000003</v>
      </c>
    </row>
    <row r="34" spans="1:17" ht="15.75" customHeight="1">
      <c r="A34" s="2" t="s">
        <v>81</v>
      </c>
      <c r="B34" s="3" t="str">
        <f t="shared" si="0"/>
        <v>January</v>
      </c>
      <c r="C34" s="2">
        <v>1759.9</v>
      </c>
      <c r="D34" s="3">
        <v>44933</v>
      </c>
      <c r="E34" s="2" t="s">
        <v>21</v>
      </c>
      <c r="F34" s="2" t="s">
        <v>16</v>
      </c>
      <c r="G34" s="2">
        <f t="shared" si="1"/>
        <v>175.99</v>
      </c>
      <c r="H34" s="2">
        <f t="shared" si="2"/>
        <v>1583.91</v>
      </c>
      <c r="I34" s="2">
        <v>3</v>
      </c>
      <c r="J34" s="3">
        <v>44939</v>
      </c>
      <c r="K34" s="2" t="s">
        <v>23</v>
      </c>
      <c r="L34" s="2" t="s">
        <v>30</v>
      </c>
      <c r="M34" s="2">
        <v>178.58</v>
      </c>
      <c r="N34" s="2" t="s">
        <v>44</v>
      </c>
    </row>
    <row r="35" spans="1:17" ht="15.75" customHeight="1">
      <c r="A35" s="2" t="s">
        <v>82</v>
      </c>
      <c r="B35" s="3" t="str">
        <f t="shared" si="0"/>
        <v>June</v>
      </c>
      <c r="C35" s="2">
        <v>3594.76</v>
      </c>
      <c r="D35" s="3">
        <v>45097</v>
      </c>
      <c r="E35" s="2" t="s">
        <v>35</v>
      </c>
      <c r="F35" s="2" t="s">
        <v>16</v>
      </c>
      <c r="G35" s="2">
        <f t="shared" si="1"/>
        <v>359.476</v>
      </c>
      <c r="H35" s="2">
        <f t="shared" si="2"/>
        <v>3235.2840000000001</v>
      </c>
      <c r="I35" s="2">
        <v>4</v>
      </c>
      <c r="J35" s="3">
        <v>45099</v>
      </c>
      <c r="K35" s="2" t="s">
        <v>34</v>
      </c>
      <c r="L35" s="2" t="s">
        <v>18</v>
      </c>
      <c r="M35" s="2">
        <v>1002.97</v>
      </c>
      <c r="N35" s="2" t="s">
        <v>44</v>
      </c>
    </row>
    <row r="36" spans="1:17" ht="15.75" customHeight="1">
      <c r="A36" s="2" t="s">
        <v>83</v>
      </c>
      <c r="B36" s="3" t="str">
        <f t="shared" si="0"/>
        <v>September</v>
      </c>
      <c r="C36" s="2">
        <v>2899.46</v>
      </c>
      <c r="D36" s="3">
        <v>45189</v>
      </c>
      <c r="E36" s="2" t="s">
        <v>35</v>
      </c>
      <c r="F36" s="2" t="s">
        <v>40</v>
      </c>
      <c r="G36" s="2">
        <f t="shared" si="1"/>
        <v>289.94600000000003</v>
      </c>
      <c r="H36" s="2">
        <f t="shared" si="2"/>
        <v>2609.5140000000001</v>
      </c>
      <c r="I36" s="2">
        <v>5</v>
      </c>
      <c r="J36" s="3">
        <v>45190</v>
      </c>
      <c r="K36" s="2" t="s">
        <v>23</v>
      </c>
      <c r="L36" s="2" t="s">
        <v>30</v>
      </c>
      <c r="M36" s="2">
        <v>320.43</v>
      </c>
      <c r="N36" s="2" t="s">
        <v>31</v>
      </c>
    </row>
    <row r="37" spans="1:17" ht="15.75" customHeight="1">
      <c r="A37" s="2" t="s">
        <v>84</v>
      </c>
      <c r="B37" s="3" t="str">
        <f t="shared" si="0"/>
        <v>January</v>
      </c>
      <c r="C37" s="2">
        <v>626.80999999999995</v>
      </c>
      <c r="D37" s="3">
        <v>45298</v>
      </c>
      <c r="E37" s="2" t="s">
        <v>28</v>
      </c>
      <c r="F37" s="2" t="s">
        <v>22</v>
      </c>
      <c r="G37" s="2">
        <f t="shared" si="1"/>
        <v>62.680999999999997</v>
      </c>
      <c r="H37" s="2">
        <f t="shared" si="2"/>
        <v>564.12900000000002</v>
      </c>
      <c r="I37" s="2">
        <v>7</v>
      </c>
      <c r="J37" s="3">
        <v>45303</v>
      </c>
      <c r="K37" s="2" t="s">
        <v>23</v>
      </c>
      <c r="L37" s="2" t="s">
        <v>18</v>
      </c>
      <c r="M37" s="2">
        <v>177.84</v>
      </c>
      <c r="N37" s="2" t="s">
        <v>38</v>
      </c>
    </row>
    <row r="38" spans="1:17" ht="15.75" customHeight="1">
      <c r="A38" s="2" t="s">
        <v>85</v>
      </c>
      <c r="B38" s="3" t="str">
        <f t="shared" si="0"/>
        <v>June</v>
      </c>
      <c r="C38" s="2">
        <v>2850.59</v>
      </c>
      <c r="D38" s="3">
        <v>45470</v>
      </c>
      <c r="E38" s="2" t="s">
        <v>21</v>
      </c>
      <c r="F38" s="2" t="s">
        <v>29</v>
      </c>
      <c r="G38" s="2">
        <f t="shared" si="1"/>
        <v>285.05900000000003</v>
      </c>
      <c r="H38" s="2">
        <f t="shared" si="2"/>
        <v>2565.5309999999999</v>
      </c>
      <c r="I38" s="2">
        <v>2</v>
      </c>
      <c r="J38" s="3">
        <v>45474</v>
      </c>
      <c r="K38" s="2" t="s">
        <v>23</v>
      </c>
      <c r="L38" s="2" t="s">
        <v>24</v>
      </c>
      <c r="M38" s="2">
        <v>528.38</v>
      </c>
      <c r="N38" s="2" t="s">
        <v>52</v>
      </c>
    </row>
    <row r="39" spans="1:17" ht="15.75" customHeight="1">
      <c r="A39" s="2" t="s">
        <v>86</v>
      </c>
      <c r="B39" s="3" t="str">
        <f t="shared" si="0"/>
        <v>December</v>
      </c>
      <c r="C39" s="2">
        <v>3339.02</v>
      </c>
      <c r="D39" s="3">
        <v>45651</v>
      </c>
      <c r="E39" s="2" t="s">
        <v>28</v>
      </c>
      <c r="F39" s="2" t="s">
        <v>37</v>
      </c>
      <c r="G39" s="2">
        <f t="shared" si="1"/>
        <v>333.90199999999999</v>
      </c>
      <c r="H39" s="2">
        <f t="shared" si="2"/>
        <v>3005.1179999999999</v>
      </c>
      <c r="I39" s="2">
        <v>6</v>
      </c>
      <c r="J39" s="3">
        <v>45652</v>
      </c>
      <c r="K39" s="2" t="s">
        <v>17</v>
      </c>
      <c r="L39" s="2" t="s">
        <v>30</v>
      </c>
      <c r="M39" s="2">
        <v>586.69000000000005</v>
      </c>
      <c r="N39" s="2" t="s">
        <v>25</v>
      </c>
    </row>
    <row r="40" spans="1:17" ht="15.75" customHeight="1">
      <c r="A40" s="2" t="s">
        <v>87</v>
      </c>
      <c r="B40" s="3" t="str">
        <f t="shared" si="0"/>
        <v>May</v>
      </c>
      <c r="C40" s="2">
        <v>4419.43</v>
      </c>
      <c r="D40" s="3">
        <v>45423</v>
      </c>
      <c r="E40" s="2" t="s">
        <v>28</v>
      </c>
      <c r="F40" s="2" t="s">
        <v>29</v>
      </c>
      <c r="G40" s="2">
        <f t="shared" si="1"/>
        <v>441.94299999999998</v>
      </c>
      <c r="H40" s="2">
        <f t="shared" si="2"/>
        <v>3977.4870000000001</v>
      </c>
      <c r="I40" s="2">
        <v>6</v>
      </c>
      <c r="J40" s="3">
        <v>45426</v>
      </c>
      <c r="K40" s="2" t="s">
        <v>34</v>
      </c>
      <c r="L40" s="2" t="s">
        <v>18</v>
      </c>
      <c r="M40" s="2">
        <v>742.22</v>
      </c>
      <c r="N40" s="2" t="s">
        <v>19</v>
      </c>
    </row>
    <row r="41" spans="1:17" ht="15.75" customHeight="1">
      <c r="A41" s="2" t="s">
        <v>88</v>
      </c>
      <c r="B41" s="3" t="str">
        <f t="shared" si="0"/>
        <v>February</v>
      </c>
      <c r="C41" s="2">
        <v>443.42</v>
      </c>
      <c r="D41" s="3">
        <v>44985</v>
      </c>
      <c r="E41" s="2" t="s">
        <v>15</v>
      </c>
      <c r="F41" s="2" t="s">
        <v>40</v>
      </c>
      <c r="G41" s="2">
        <f t="shared" si="1"/>
        <v>44.341999999999999</v>
      </c>
      <c r="H41" s="2">
        <f t="shared" si="2"/>
        <v>399.07799999999997</v>
      </c>
      <c r="I41" s="2">
        <v>6</v>
      </c>
      <c r="J41" s="3">
        <v>44990</v>
      </c>
      <c r="K41" s="2" t="s">
        <v>17</v>
      </c>
      <c r="L41" s="2" t="s">
        <v>24</v>
      </c>
      <c r="M41" s="2">
        <v>119.91</v>
      </c>
      <c r="N41" s="2" t="s">
        <v>31</v>
      </c>
    </row>
    <row r="42" spans="1:17" ht="15.75" customHeight="1">
      <c r="A42" s="2" t="s">
        <v>89</v>
      </c>
      <c r="B42" s="3" t="str">
        <f t="shared" si="0"/>
        <v>December</v>
      </c>
      <c r="C42" s="2">
        <v>1548.61</v>
      </c>
      <c r="D42" s="3">
        <v>45261</v>
      </c>
      <c r="E42" s="2" t="s">
        <v>15</v>
      </c>
      <c r="F42" s="2" t="s">
        <v>37</v>
      </c>
      <c r="G42" s="2">
        <f t="shared" si="1"/>
        <v>154.86099999999999</v>
      </c>
      <c r="H42" s="2">
        <f t="shared" si="2"/>
        <v>1393.749</v>
      </c>
      <c r="I42" s="2">
        <v>7</v>
      </c>
      <c r="J42" s="3">
        <v>45263</v>
      </c>
      <c r="K42" s="2" t="s">
        <v>23</v>
      </c>
      <c r="L42" s="2" t="s">
        <v>30</v>
      </c>
      <c r="M42" s="2">
        <v>392.57</v>
      </c>
      <c r="N42" s="2" t="s">
        <v>19</v>
      </c>
    </row>
    <row r="43" spans="1:17" ht="15.75" customHeight="1">
      <c r="A43" s="2" t="s">
        <v>90</v>
      </c>
      <c r="B43" s="3" t="str">
        <f t="shared" si="0"/>
        <v>January</v>
      </c>
      <c r="C43" s="2">
        <v>3492.47</v>
      </c>
      <c r="D43" s="3">
        <v>44956</v>
      </c>
      <c r="E43" s="2" t="s">
        <v>15</v>
      </c>
      <c r="F43" s="2" t="s">
        <v>40</v>
      </c>
      <c r="G43" s="2">
        <f t="shared" si="1"/>
        <v>349.24700000000001</v>
      </c>
      <c r="H43" s="2">
        <f t="shared" si="2"/>
        <v>3143.223</v>
      </c>
      <c r="I43" s="2">
        <v>3</v>
      </c>
      <c r="J43" s="3">
        <v>44957</v>
      </c>
      <c r="K43" s="2" t="s">
        <v>17</v>
      </c>
      <c r="L43" s="2" t="s">
        <v>24</v>
      </c>
      <c r="M43" s="2">
        <v>765.08</v>
      </c>
      <c r="N43" s="2" t="s">
        <v>38</v>
      </c>
    </row>
    <row r="44" spans="1:17" ht="15.75" customHeight="1">
      <c r="A44" s="2" t="s">
        <v>91</v>
      </c>
      <c r="B44" s="3" t="str">
        <f t="shared" si="0"/>
        <v>September</v>
      </c>
      <c r="C44" s="2">
        <v>268.23</v>
      </c>
      <c r="D44" s="3">
        <v>45186</v>
      </c>
      <c r="E44" s="2" t="s">
        <v>35</v>
      </c>
      <c r="F44" s="2" t="s">
        <v>40</v>
      </c>
      <c r="G44" s="2">
        <f t="shared" si="1"/>
        <v>26.823</v>
      </c>
      <c r="H44" s="2">
        <f t="shared" si="2"/>
        <v>241.40700000000001</v>
      </c>
      <c r="I44" s="2">
        <v>5</v>
      </c>
      <c r="J44" s="3">
        <v>45188</v>
      </c>
      <c r="K44" s="2" t="s">
        <v>23</v>
      </c>
      <c r="L44" s="2" t="s">
        <v>30</v>
      </c>
      <c r="M44" s="2">
        <v>48.54</v>
      </c>
      <c r="N44" s="2" t="s">
        <v>25</v>
      </c>
    </row>
    <row r="45" spans="1:17" ht="15.75" customHeight="1">
      <c r="A45" s="2" t="s">
        <v>92</v>
      </c>
      <c r="B45" s="3" t="str">
        <f t="shared" si="0"/>
        <v>June</v>
      </c>
      <c r="C45" s="2">
        <v>1097.4100000000001</v>
      </c>
      <c r="D45" s="3">
        <v>45472</v>
      </c>
      <c r="E45" s="2" t="s">
        <v>21</v>
      </c>
      <c r="F45" s="2" t="s">
        <v>16</v>
      </c>
      <c r="G45" s="2">
        <f t="shared" si="1"/>
        <v>109.741</v>
      </c>
      <c r="H45" s="2">
        <f t="shared" si="2"/>
        <v>987.66899999999998</v>
      </c>
      <c r="I45" s="2">
        <v>9</v>
      </c>
      <c r="J45" s="3">
        <v>45475</v>
      </c>
      <c r="K45" s="2" t="s">
        <v>17</v>
      </c>
      <c r="L45" s="2" t="s">
        <v>30</v>
      </c>
      <c r="M45" s="2">
        <v>235.05</v>
      </c>
      <c r="N45" s="2" t="s">
        <v>38</v>
      </c>
    </row>
    <row r="46" spans="1:17" ht="15.75" customHeight="1">
      <c r="A46" s="2" t="s">
        <v>93</v>
      </c>
      <c r="B46" s="3" t="str">
        <f t="shared" si="0"/>
        <v>May</v>
      </c>
      <c r="C46" s="2">
        <v>1171.48</v>
      </c>
      <c r="D46" s="3">
        <v>45063</v>
      </c>
      <c r="E46" s="2" t="s">
        <v>21</v>
      </c>
      <c r="F46" s="2" t="s">
        <v>29</v>
      </c>
      <c r="G46" s="2">
        <f t="shared" si="1"/>
        <v>117.148</v>
      </c>
      <c r="H46" s="2">
        <f t="shared" si="2"/>
        <v>1054.3320000000001</v>
      </c>
      <c r="I46" s="2">
        <v>9</v>
      </c>
      <c r="J46" s="3">
        <v>45065</v>
      </c>
      <c r="K46" s="2" t="s">
        <v>23</v>
      </c>
      <c r="L46" s="2" t="s">
        <v>24</v>
      </c>
      <c r="M46" s="2">
        <v>129.80000000000001</v>
      </c>
      <c r="N46" s="2" t="s">
        <v>52</v>
      </c>
    </row>
    <row r="47" spans="1:17" ht="15.75" customHeight="1">
      <c r="A47" s="2" t="s">
        <v>94</v>
      </c>
      <c r="B47" s="3" t="str">
        <f t="shared" si="0"/>
        <v>November</v>
      </c>
      <c r="C47" s="2">
        <v>3379.7</v>
      </c>
      <c r="D47" s="3">
        <v>45242</v>
      </c>
      <c r="E47" s="2" t="s">
        <v>21</v>
      </c>
      <c r="F47" s="2" t="s">
        <v>29</v>
      </c>
      <c r="G47" s="2">
        <f t="shared" si="1"/>
        <v>337.97</v>
      </c>
      <c r="H47" s="2">
        <f t="shared" si="2"/>
        <v>3041.73</v>
      </c>
      <c r="I47" s="2">
        <v>7</v>
      </c>
      <c r="J47" s="3">
        <v>45247</v>
      </c>
      <c r="K47" s="2" t="s">
        <v>23</v>
      </c>
      <c r="L47" s="2" t="s">
        <v>30</v>
      </c>
      <c r="M47" s="2">
        <v>588.79</v>
      </c>
      <c r="N47" s="2" t="s">
        <v>52</v>
      </c>
    </row>
    <row r="48" spans="1:17" ht="15.75" customHeight="1">
      <c r="A48" s="2" t="s">
        <v>95</v>
      </c>
      <c r="B48" s="3" t="str">
        <f t="shared" si="0"/>
        <v>April</v>
      </c>
      <c r="C48" s="2">
        <v>1501.21</v>
      </c>
      <c r="D48" s="3">
        <v>45386</v>
      </c>
      <c r="E48" s="2" t="s">
        <v>21</v>
      </c>
      <c r="F48" s="2" t="s">
        <v>16</v>
      </c>
      <c r="G48" s="2">
        <f t="shared" si="1"/>
        <v>150.12100000000001</v>
      </c>
      <c r="H48" s="2">
        <f t="shared" si="2"/>
        <v>1351.0889999999999</v>
      </c>
      <c r="I48" s="2">
        <v>9</v>
      </c>
      <c r="J48" s="3">
        <v>45390</v>
      </c>
      <c r="K48" s="2" t="s">
        <v>17</v>
      </c>
      <c r="L48" s="2" t="s">
        <v>24</v>
      </c>
      <c r="M48" s="2">
        <v>127.89</v>
      </c>
      <c r="N48" s="2" t="s">
        <v>19</v>
      </c>
    </row>
    <row r="49" spans="1:14" ht="15.75" customHeight="1">
      <c r="A49" s="2" t="s">
        <v>96</v>
      </c>
      <c r="B49" s="3" t="str">
        <f t="shared" si="0"/>
        <v>February</v>
      </c>
      <c r="C49" s="2">
        <v>3038.02</v>
      </c>
      <c r="D49" s="3">
        <v>45334</v>
      </c>
      <c r="E49" s="2" t="s">
        <v>15</v>
      </c>
      <c r="F49" s="2" t="s">
        <v>29</v>
      </c>
      <c r="G49" s="2">
        <f t="shared" si="1"/>
        <v>303.80200000000002</v>
      </c>
      <c r="H49" s="2">
        <f t="shared" si="2"/>
        <v>2734.2179999999998</v>
      </c>
      <c r="I49" s="2">
        <v>3</v>
      </c>
      <c r="J49" s="3">
        <v>45341</v>
      </c>
      <c r="K49" s="2" t="s">
        <v>23</v>
      </c>
      <c r="L49" s="2" t="s">
        <v>30</v>
      </c>
      <c r="M49" s="2">
        <v>249.34</v>
      </c>
      <c r="N49" s="2" t="s">
        <v>52</v>
      </c>
    </row>
    <row r="50" spans="1:14" ht="15.75" customHeight="1">
      <c r="A50" s="2" t="s">
        <v>97</v>
      </c>
      <c r="B50" s="3" t="str">
        <f t="shared" si="0"/>
        <v>September</v>
      </c>
      <c r="C50" s="2">
        <v>4830.21</v>
      </c>
      <c r="D50" s="3">
        <v>45553</v>
      </c>
      <c r="E50" s="2" t="s">
        <v>35</v>
      </c>
      <c r="F50" s="2" t="s">
        <v>16</v>
      </c>
      <c r="G50" s="2">
        <f t="shared" si="1"/>
        <v>483.02100000000002</v>
      </c>
      <c r="H50" s="2">
        <f t="shared" si="2"/>
        <v>4347.1890000000003</v>
      </c>
      <c r="I50" s="2">
        <v>7</v>
      </c>
      <c r="J50" s="3">
        <v>45560</v>
      </c>
      <c r="K50" s="2" t="s">
        <v>34</v>
      </c>
      <c r="L50" s="2" t="s">
        <v>30</v>
      </c>
      <c r="M50" s="2">
        <v>1097.26</v>
      </c>
      <c r="N50" s="2" t="s">
        <v>52</v>
      </c>
    </row>
    <row r="51" spans="1:14" ht="15.75" customHeight="1">
      <c r="A51" s="2" t="s">
        <v>98</v>
      </c>
      <c r="B51" s="3" t="str">
        <f t="shared" si="0"/>
        <v>July</v>
      </c>
      <c r="C51" s="2">
        <v>3986.89</v>
      </c>
      <c r="D51" s="3">
        <v>45109</v>
      </c>
      <c r="E51" s="2" t="s">
        <v>35</v>
      </c>
      <c r="F51" s="2" t="s">
        <v>37</v>
      </c>
      <c r="G51" s="2">
        <f t="shared" si="1"/>
        <v>398.68900000000002</v>
      </c>
      <c r="H51" s="2">
        <f t="shared" si="2"/>
        <v>3588.201</v>
      </c>
      <c r="I51" s="2">
        <v>1</v>
      </c>
      <c r="J51" s="3">
        <v>45110</v>
      </c>
      <c r="K51" s="2" t="s">
        <v>17</v>
      </c>
      <c r="L51" s="2" t="s">
        <v>30</v>
      </c>
      <c r="M51" s="2">
        <v>1139.21</v>
      </c>
      <c r="N51" s="2" t="s">
        <v>25</v>
      </c>
    </row>
    <row r="52" spans="1:14" ht="15.75" customHeight="1">
      <c r="A52" s="2" t="s">
        <v>99</v>
      </c>
      <c r="B52" s="3" t="str">
        <f t="shared" si="0"/>
        <v>September</v>
      </c>
      <c r="C52" s="2">
        <v>1731.22</v>
      </c>
      <c r="D52" s="3">
        <v>45173</v>
      </c>
      <c r="E52" s="2" t="s">
        <v>15</v>
      </c>
      <c r="F52" s="2" t="s">
        <v>40</v>
      </c>
      <c r="G52" s="2">
        <f t="shared" si="1"/>
        <v>173.12200000000001</v>
      </c>
      <c r="H52" s="2">
        <f t="shared" si="2"/>
        <v>1558.098</v>
      </c>
      <c r="I52" s="2">
        <v>7</v>
      </c>
      <c r="J52" s="3">
        <v>45180</v>
      </c>
      <c r="K52" s="2" t="s">
        <v>17</v>
      </c>
      <c r="L52" s="2" t="s">
        <v>18</v>
      </c>
      <c r="M52" s="2">
        <v>433.9</v>
      </c>
      <c r="N52" s="2" t="s">
        <v>31</v>
      </c>
    </row>
    <row r="53" spans="1:14" ht="15.75" customHeight="1">
      <c r="A53" s="2" t="s">
        <v>100</v>
      </c>
      <c r="B53" s="3" t="str">
        <f t="shared" si="0"/>
        <v>January</v>
      </c>
      <c r="C53" s="2">
        <v>2414.7600000000002</v>
      </c>
      <c r="D53" s="3">
        <v>44955</v>
      </c>
      <c r="E53" s="2" t="s">
        <v>35</v>
      </c>
      <c r="F53" s="2" t="s">
        <v>40</v>
      </c>
      <c r="G53" s="2">
        <f t="shared" si="1"/>
        <v>241.476</v>
      </c>
      <c r="H53" s="2">
        <f t="shared" si="2"/>
        <v>2173.2840000000001</v>
      </c>
      <c r="I53" s="2">
        <v>3</v>
      </c>
      <c r="J53" s="3">
        <v>44961</v>
      </c>
      <c r="K53" s="2" t="s">
        <v>23</v>
      </c>
      <c r="L53" s="2" t="s">
        <v>30</v>
      </c>
      <c r="M53" s="2">
        <v>687.58</v>
      </c>
      <c r="N53" s="2" t="s">
        <v>25</v>
      </c>
    </row>
    <row r="54" spans="1:14" ht="15.75" customHeight="1">
      <c r="A54" s="2" t="s">
        <v>101</v>
      </c>
      <c r="B54" s="3" t="str">
        <f t="shared" si="0"/>
        <v>November</v>
      </c>
      <c r="C54" s="2">
        <v>1083.3</v>
      </c>
      <c r="D54" s="3">
        <v>45236</v>
      </c>
      <c r="E54" s="2" t="s">
        <v>15</v>
      </c>
      <c r="F54" s="2" t="s">
        <v>29</v>
      </c>
      <c r="G54" s="2">
        <f t="shared" si="1"/>
        <v>108.33</v>
      </c>
      <c r="H54" s="2">
        <f t="shared" si="2"/>
        <v>974.97</v>
      </c>
      <c r="I54" s="2">
        <v>3</v>
      </c>
      <c r="J54" s="3">
        <v>45240</v>
      </c>
      <c r="K54" s="2" t="s">
        <v>17</v>
      </c>
      <c r="L54" s="2" t="s">
        <v>30</v>
      </c>
      <c r="M54" s="2">
        <v>114.25</v>
      </c>
      <c r="N54" s="2" t="s">
        <v>38</v>
      </c>
    </row>
    <row r="55" spans="1:14" ht="15.75" customHeight="1">
      <c r="A55" s="2" t="s">
        <v>102</v>
      </c>
      <c r="B55" s="3" t="str">
        <f t="shared" si="0"/>
        <v>June</v>
      </c>
      <c r="C55" s="2">
        <v>177.03</v>
      </c>
      <c r="D55" s="3">
        <v>45105</v>
      </c>
      <c r="E55" s="2" t="s">
        <v>21</v>
      </c>
      <c r="F55" s="2" t="s">
        <v>22</v>
      </c>
      <c r="G55" s="2">
        <f t="shared" si="1"/>
        <v>17.702999999999999</v>
      </c>
      <c r="H55" s="2">
        <f t="shared" si="2"/>
        <v>159.327</v>
      </c>
      <c r="I55" s="2">
        <v>7</v>
      </c>
      <c r="J55" s="3">
        <v>45106</v>
      </c>
      <c r="K55" s="2" t="s">
        <v>34</v>
      </c>
      <c r="L55" s="2" t="s">
        <v>18</v>
      </c>
      <c r="M55" s="2">
        <v>20.43</v>
      </c>
      <c r="N55" s="2" t="s">
        <v>25</v>
      </c>
    </row>
    <row r="56" spans="1:14" ht="15.75" customHeight="1">
      <c r="A56" s="2" t="s">
        <v>103</v>
      </c>
      <c r="B56" s="3" t="str">
        <f t="shared" si="0"/>
        <v>May</v>
      </c>
      <c r="C56" s="2">
        <v>1519.61</v>
      </c>
      <c r="D56" s="3">
        <v>45431</v>
      </c>
      <c r="E56" s="2" t="s">
        <v>15</v>
      </c>
      <c r="F56" s="2" t="s">
        <v>40</v>
      </c>
      <c r="G56" s="2">
        <f t="shared" si="1"/>
        <v>151.96100000000001</v>
      </c>
      <c r="H56" s="2">
        <f t="shared" si="2"/>
        <v>1367.6489999999999</v>
      </c>
      <c r="I56" s="2">
        <v>8</v>
      </c>
      <c r="J56" s="3">
        <v>45438</v>
      </c>
      <c r="K56" s="2" t="s">
        <v>17</v>
      </c>
      <c r="L56" s="2" t="s">
        <v>18</v>
      </c>
      <c r="M56" s="2">
        <v>237.01</v>
      </c>
      <c r="N56" s="2" t="s">
        <v>44</v>
      </c>
    </row>
    <row r="57" spans="1:14" ht="15.75" customHeight="1">
      <c r="A57" s="2" t="s">
        <v>104</v>
      </c>
      <c r="B57" s="3" t="str">
        <f t="shared" si="0"/>
        <v>January</v>
      </c>
      <c r="C57" s="2">
        <v>1910.1</v>
      </c>
      <c r="D57" s="3">
        <v>45303</v>
      </c>
      <c r="E57" s="2" t="s">
        <v>21</v>
      </c>
      <c r="F57" s="2" t="s">
        <v>16</v>
      </c>
      <c r="G57" s="2">
        <f t="shared" si="1"/>
        <v>191.01</v>
      </c>
      <c r="H57" s="2">
        <f t="shared" si="2"/>
        <v>1719.09</v>
      </c>
      <c r="I57" s="2">
        <v>4</v>
      </c>
      <c r="J57" s="3">
        <v>45305</v>
      </c>
      <c r="K57" s="2" t="s">
        <v>34</v>
      </c>
      <c r="L57" s="2" t="s">
        <v>30</v>
      </c>
      <c r="M57" s="2">
        <v>278.48</v>
      </c>
      <c r="N57" s="2" t="s">
        <v>19</v>
      </c>
    </row>
    <row r="58" spans="1:14" ht="15.75" customHeight="1">
      <c r="A58" s="2" t="s">
        <v>105</v>
      </c>
      <c r="B58" s="3" t="str">
        <f t="shared" si="0"/>
        <v>October</v>
      </c>
      <c r="C58" s="2">
        <v>2865.4</v>
      </c>
      <c r="D58" s="3">
        <v>45204</v>
      </c>
      <c r="E58" s="2" t="s">
        <v>21</v>
      </c>
      <c r="F58" s="2" t="s">
        <v>22</v>
      </c>
      <c r="G58" s="2">
        <f t="shared" si="1"/>
        <v>286.54000000000002</v>
      </c>
      <c r="H58" s="2">
        <f t="shared" si="2"/>
        <v>2578.86</v>
      </c>
      <c r="I58" s="2">
        <v>1</v>
      </c>
      <c r="J58" s="3">
        <v>45206</v>
      </c>
      <c r="K58" s="2" t="s">
        <v>17</v>
      </c>
      <c r="L58" s="2" t="s">
        <v>30</v>
      </c>
      <c r="M58" s="2">
        <v>356.81</v>
      </c>
      <c r="N58" s="2" t="s">
        <v>19</v>
      </c>
    </row>
    <row r="59" spans="1:14" ht="15.75" customHeight="1">
      <c r="A59" s="2" t="s">
        <v>106</v>
      </c>
      <c r="B59" s="3" t="str">
        <f t="shared" si="0"/>
        <v>April</v>
      </c>
      <c r="C59" s="2">
        <v>4725.93</v>
      </c>
      <c r="D59" s="3">
        <v>45409</v>
      </c>
      <c r="E59" s="2" t="s">
        <v>28</v>
      </c>
      <c r="F59" s="2" t="s">
        <v>22</v>
      </c>
      <c r="G59" s="2">
        <f t="shared" si="1"/>
        <v>472.59300000000002</v>
      </c>
      <c r="H59" s="2">
        <f t="shared" si="2"/>
        <v>4253.3370000000004</v>
      </c>
      <c r="I59" s="2">
        <v>5</v>
      </c>
      <c r="J59" s="3">
        <v>45416</v>
      </c>
      <c r="K59" s="2" t="s">
        <v>34</v>
      </c>
      <c r="L59" s="2" t="s">
        <v>30</v>
      </c>
      <c r="M59" s="2">
        <v>581.75</v>
      </c>
      <c r="N59" s="2" t="s">
        <v>52</v>
      </c>
    </row>
    <row r="60" spans="1:14" ht="15.75" customHeight="1">
      <c r="A60" s="2" t="s">
        <v>107</v>
      </c>
      <c r="B60" s="3" t="str">
        <f t="shared" si="0"/>
        <v>October</v>
      </c>
      <c r="C60" s="2">
        <v>4744.4799999999996</v>
      </c>
      <c r="D60" s="3">
        <v>45202</v>
      </c>
      <c r="E60" s="2" t="s">
        <v>15</v>
      </c>
      <c r="F60" s="2" t="s">
        <v>40</v>
      </c>
      <c r="G60" s="2">
        <f t="shared" si="1"/>
        <v>474.44799999999998</v>
      </c>
      <c r="H60" s="2">
        <f t="shared" si="2"/>
        <v>4270.0320000000002</v>
      </c>
      <c r="I60" s="2">
        <v>4</v>
      </c>
      <c r="J60" s="3">
        <v>45207</v>
      </c>
      <c r="K60" s="2" t="s">
        <v>17</v>
      </c>
      <c r="L60" s="2" t="s">
        <v>24</v>
      </c>
      <c r="M60" s="2">
        <v>1320.22</v>
      </c>
      <c r="N60" s="2" t="s">
        <v>31</v>
      </c>
    </row>
    <row r="61" spans="1:14" ht="15.75" customHeight="1">
      <c r="A61" s="2" t="s">
        <v>108</v>
      </c>
      <c r="B61" s="3" t="str">
        <f t="shared" si="0"/>
        <v>October</v>
      </c>
      <c r="C61" s="2">
        <v>443.48</v>
      </c>
      <c r="D61" s="3">
        <v>45219</v>
      </c>
      <c r="E61" s="2" t="s">
        <v>28</v>
      </c>
      <c r="F61" s="2" t="s">
        <v>40</v>
      </c>
      <c r="G61" s="2">
        <f t="shared" si="1"/>
        <v>44.347999999999999</v>
      </c>
      <c r="H61" s="2">
        <f t="shared" si="2"/>
        <v>399.13200000000001</v>
      </c>
      <c r="I61" s="2">
        <v>9</v>
      </c>
      <c r="J61" s="3">
        <v>45221</v>
      </c>
      <c r="K61" s="2" t="s">
        <v>34</v>
      </c>
      <c r="L61" s="2" t="s">
        <v>24</v>
      </c>
      <c r="M61" s="2">
        <v>42.23</v>
      </c>
      <c r="N61" s="2" t="s">
        <v>44</v>
      </c>
    </row>
    <row r="62" spans="1:14" ht="15.75" customHeight="1">
      <c r="A62" s="2" t="s">
        <v>109</v>
      </c>
      <c r="B62" s="3" t="str">
        <f t="shared" si="0"/>
        <v>May</v>
      </c>
      <c r="C62" s="2">
        <v>3111.76</v>
      </c>
      <c r="D62" s="3">
        <v>45054</v>
      </c>
      <c r="E62" s="2" t="s">
        <v>15</v>
      </c>
      <c r="F62" s="2" t="s">
        <v>40</v>
      </c>
      <c r="G62" s="2">
        <f t="shared" si="1"/>
        <v>311.17599999999999</v>
      </c>
      <c r="H62" s="2">
        <f t="shared" si="2"/>
        <v>2800.5839999999998</v>
      </c>
      <c r="I62" s="2">
        <v>3</v>
      </c>
      <c r="J62" s="3">
        <v>45057</v>
      </c>
      <c r="K62" s="2" t="s">
        <v>23</v>
      </c>
      <c r="L62" s="2" t="s">
        <v>24</v>
      </c>
      <c r="M62" s="2">
        <v>835.81</v>
      </c>
      <c r="N62" s="2" t="s">
        <v>31</v>
      </c>
    </row>
    <row r="63" spans="1:14" ht="15.75" customHeight="1">
      <c r="A63" s="2" t="s">
        <v>110</v>
      </c>
      <c r="B63" s="3" t="str">
        <f t="shared" si="0"/>
        <v>November</v>
      </c>
      <c r="C63" s="2">
        <v>307.52999999999997</v>
      </c>
      <c r="D63" s="3">
        <v>45233</v>
      </c>
      <c r="E63" s="2" t="s">
        <v>15</v>
      </c>
      <c r="F63" s="2" t="s">
        <v>16</v>
      </c>
      <c r="G63" s="2">
        <f t="shared" si="1"/>
        <v>30.753</v>
      </c>
      <c r="H63" s="2">
        <f t="shared" si="2"/>
        <v>276.77699999999999</v>
      </c>
      <c r="I63" s="2">
        <v>4</v>
      </c>
      <c r="J63" s="3">
        <v>45238</v>
      </c>
      <c r="K63" s="2" t="s">
        <v>17</v>
      </c>
      <c r="L63" s="2" t="s">
        <v>30</v>
      </c>
      <c r="M63" s="2">
        <v>54.58</v>
      </c>
      <c r="N63" s="2" t="s">
        <v>19</v>
      </c>
    </row>
    <row r="64" spans="1:14" ht="15.75" customHeight="1">
      <c r="A64" s="2" t="s">
        <v>111</v>
      </c>
      <c r="B64" s="3" t="str">
        <f t="shared" si="0"/>
        <v>March</v>
      </c>
      <c r="C64" s="2">
        <v>3275.6</v>
      </c>
      <c r="D64" s="3">
        <v>44999</v>
      </c>
      <c r="E64" s="2" t="s">
        <v>28</v>
      </c>
      <c r="F64" s="2" t="s">
        <v>22</v>
      </c>
      <c r="G64" s="2">
        <f t="shared" si="1"/>
        <v>327.56</v>
      </c>
      <c r="H64" s="2">
        <f t="shared" si="2"/>
        <v>2948.04</v>
      </c>
      <c r="I64" s="2">
        <v>3</v>
      </c>
      <c r="J64" s="3">
        <v>45000</v>
      </c>
      <c r="K64" s="2" t="s">
        <v>17</v>
      </c>
      <c r="L64" s="2" t="s">
        <v>30</v>
      </c>
      <c r="M64" s="2">
        <v>922.83</v>
      </c>
      <c r="N64" s="2" t="s">
        <v>52</v>
      </c>
    </row>
    <row r="65" spans="1:14" ht="15.75" customHeight="1">
      <c r="A65" s="2" t="s">
        <v>112</v>
      </c>
      <c r="B65" s="3" t="str">
        <f t="shared" si="0"/>
        <v>January</v>
      </c>
      <c r="C65" s="2">
        <v>676.75</v>
      </c>
      <c r="D65" s="3">
        <v>45299</v>
      </c>
      <c r="E65" s="2" t="s">
        <v>28</v>
      </c>
      <c r="F65" s="2" t="s">
        <v>29</v>
      </c>
      <c r="G65" s="2">
        <f t="shared" si="1"/>
        <v>67.674999999999997</v>
      </c>
      <c r="H65" s="2">
        <f t="shared" si="2"/>
        <v>609.07500000000005</v>
      </c>
      <c r="I65" s="2">
        <v>3</v>
      </c>
      <c r="J65" s="3">
        <v>45301</v>
      </c>
      <c r="K65" s="2" t="s">
        <v>34</v>
      </c>
      <c r="L65" s="2" t="s">
        <v>24</v>
      </c>
      <c r="M65" s="2">
        <v>36.86</v>
      </c>
      <c r="N65" s="2" t="s">
        <v>38</v>
      </c>
    </row>
    <row r="66" spans="1:14" ht="15.75" customHeight="1">
      <c r="A66" s="2" t="s">
        <v>113</v>
      </c>
      <c r="B66" s="3" t="str">
        <f t="shared" ref="B66:B100" si="3">TEXT(D66,"MMMM")</f>
        <v>December</v>
      </c>
      <c r="C66" s="2">
        <v>4737.37</v>
      </c>
      <c r="D66" s="3">
        <v>45652</v>
      </c>
      <c r="E66" s="2" t="s">
        <v>15</v>
      </c>
      <c r="F66" s="2" t="s">
        <v>16</v>
      </c>
      <c r="G66" s="2">
        <f t="shared" ref="G66:G100" si="4">C66*10%</f>
        <v>473.73700000000002</v>
      </c>
      <c r="H66" s="2">
        <f t="shared" ref="H66:H100" si="5">C66-G66</f>
        <v>4263.6329999999998</v>
      </c>
      <c r="I66" s="2">
        <v>7</v>
      </c>
      <c r="J66" s="3">
        <v>45653</v>
      </c>
      <c r="K66" s="2" t="s">
        <v>17</v>
      </c>
      <c r="L66" s="2" t="s">
        <v>18</v>
      </c>
      <c r="M66" s="2">
        <v>499.78</v>
      </c>
      <c r="N66" s="2" t="s">
        <v>31</v>
      </c>
    </row>
    <row r="67" spans="1:14" ht="15.75" customHeight="1">
      <c r="A67" s="2" t="s">
        <v>114</v>
      </c>
      <c r="B67" s="3" t="str">
        <f t="shared" si="3"/>
        <v>March</v>
      </c>
      <c r="C67" s="2">
        <v>4335.26</v>
      </c>
      <c r="D67" s="3">
        <v>45360</v>
      </c>
      <c r="E67" s="2" t="s">
        <v>35</v>
      </c>
      <c r="F67" s="2" t="s">
        <v>37</v>
      </c>
      <c r="G67" s="2">
        <f t="shared" si="4"/>
        <v>433.52600000000001</v>
      </c>
      <c r="H67" s="2">
        <f t="shared" si="5"/>
        <v>3901.7339999999999</v>
      </c>
      <c r="I67" s="2">
        <v>5</v>
      </c>
      <c r="J67" s="3">
        <v>45362</v>
      </c>
      <c r="K67" s="2" t="s">
        <v>34</v>
      </c>
      <c r="L67" s="2" t="s">
        <v>18</v>
      </c>
      <c r="M67" s="2">
        <v>757.48</v>
      </c>
      <c r="N67" s="2" t="s">
        <v>44</v>
      </c>
    </row>
    <row r="68" spans="1:14" ht="15.75" customHeight="1">
      <c r="A68" s="2" t="s">
        <v>115</v>
      </c>
      <c r="B68" s="3" t="str">
        <f t="shared" si="3"/>
        <v>December</v>
      </c>
      <c r="C68" s="2">
        <v>209.41</v>
      </c>
      <c r="D68" s="3">
        <v>45646</v>
      </c>
      <c r="E68" s="2" t="s">
        <v>21</v>
      </c>
      <c r="F68" s="2" t="s">
        <v>40</v>
      </c>
      <c r="G68" s="2">
        <f t="shared" si="4"/>
        <v>20.940999999999999</v>
      </c>
      <c r="H68" s="2">
        <f t="shared" si="5"/>
        <v>188.46899999999999</v>
      </c>
      <c r="I68" s="2">
        <v>5</v>
      </c>
      <c r="J68" s="3">
        <v>45651</v>
      </c>
      <c r="K68" s="2" t="s">
        <v>23</v>
      </c>
      <c r="L68" s="2" t="s">
        <v>30</v>
      </c>
      <c r="M68" s="2">
        <v>17.88</v>
      </c>
      <c r="N68" s="2" t="s">
        <v>19</v>
      </c>
    </row>
    <row r="69" spans="1:14" ht="15.75" customHeight="1">
      <c r="A69" s="2" t="s">
        <v>116</v>
      </c>
      <c r="B69" s="3" t="str">
        <f t="shared" si="3"/>
        <v>March</v>
      </c>
      <c r="C69" s="2">
        <v>3932.45</v>
      </c>
      <c r="D69" s="3">
        <v>44988</v>
      </c>
      <c r="E69" s="2" t="s">
        <v>28</v>
      </c>
      <c r="F69" s="2" t="s">
        <v>22</v>
      </c>
      <c r="G69" s="2">
        <f t="shared" si="4"/>
        <v>393.245</v>
      </c>
      <c r="H69" s="2">
        <f t="shared" si="5"/>
        <v>3539.2049999999999</v>
      </c>
      <c r="I69" s="2">
        <v>4</v>
      </c>
      <c r="J69" s="3">
        <v>44994</v>
      </c>
      <c r="K69" s="2" t="s">
        <v>34</v>
      </c>
      <c r="L69" s="2" t="s">
        <v>30</v>
      </c>
      <c r="M69" s="2">
        <v>408.02</v>
      </c>
      <c r="N69" s="2" t="s">
        <v>31</v>
      </c>
    </row>
    <row r="70" spans="1:14" ht="15.75" customHeight="1">
      <c r="A70" s="2" t="s">
        <v>117</v>
      </c>
      <c r="B70" s="3" t="str">
        <f t="shared" si="3"/>
        <v>February</v>
      </c>
      <c r="C70" s="2">
        <v>3215.9</v>
      </c>
      <c r="D70" s="3">
        <v>44970</v>
      </c>
      <c r="E70" s="2" t="s">
        <v>21</v>
      </c>
      <c r="F70" s="2" t="s">
        <v>16</v>
      </c>
      <c r="G70" s="2">
        <f t="shared" si="4"/>
        <v>321.58999999999997</v>
      </c>
      <c r="H70" s="2">
        <f t="shared" si="5"/>
        <v>2894.31</v>
      </c>
      <c r="I70" s="2">
        <v>8</v>
      </c>
      <c r="J70" s="3">
        <v>44973</v>
      </c>
      <c r="K70" s="2" t="s">
        <v>17</v>
      </c>
      <c r="L70" s="2" t="s">
        <v>30</v>
      </c>
      <c r="M70" s="2">
        <v>542.05999999999995</v>
      </c>
      <c r="N70" s="2" t="s">
        <v>44</v>
      </c>
    </row>
    <row r="71" spans="1:14" ht="15.75" customHeight="1">
      <c r="A71" s="2" t="s">
        <v>118</v>
      </c>
      <c r="B71" s="3" t="str">
        <f t="shared" si="3"/>
        <v>January</v>
      </c>
      <c r="C71" s="2">
        <v>2527.31</v>
      </c>
      <c r="D71" s="3">
        <v>45296</v>
      </c>
      <c r="E71" s="2" t="s">
        <v>35</v>
      </c>
      <c r="F71" s="2" t="s">
        <v>37</v>
      </c>
      <c r="G71" s="2">
        <f t="shared" si="4"/>
        <v>252.73099999999999</v>
      </c>
      <c r="H71" s="2">
        <f t="shared" si="5"/>
        <v>2274.5790000000002</v>
      </c>
      <c r="I71" s="2">
        <v>1</v>
      </c>
      <c r="J71" s="3">
        <v>45297</v>
      </c>
      <c r="K71" s="2" t="s">
        <v>23</v>
      </c>
      <c r="L71" s="2" t="s">
        <v>24</v>
      </c>
      <c r="M71" s="2">
        <v>611.45000000000005</v>
      </c>
      <c r="N71" s="2" t="s">
        <v>19</v>
      </c>
    </row>
    <row r="72" spans="1:14" ht="15.75" customHeight="1">
      <c r="A72" s="2" t="s">
        <v>119</v>
      </c>
      <c r="B72" s="3" t="str">
        <f t="shared" si="3"/>
        <v>June</v>
      </c>
      <c r="C72" s="2">
        <v>3052.91</v>
      </c>
      <c r="D72" s="3">
        <v>45449</v>
      </c>
      <c r="E72" s="2" t="s">
        <v>35</v>
      </c>
      <c r="F72" s="2" t="s">
        <v>16</v>
      </c>
      <c r="G72" s="2">
        <f t="shared" si="4"/>
        <v>305.291</v>
      </c>
      <c r="H72" s="2">
        <f t="shared" si="5"/>
        <v>2747.6190000000001</v>
      </c>
      <c r="I72" s="2">
        <v>9</v>
      </c>
      <c r="J72" s="3">
        <v>45453</v>
      </c>
      <c r="K72" s="2" t="s">
        <v>34</v>
      </c>
      <c r="L72" s="2" t="s">
        <v>24</v>
      </c>
      <c r="M72" s="2">
        <v>752</v>
      </c>
      <c r="N72" s="2" t="s">
        <v>44</v>
      </c>
    </row>
    <row r="73" spans="1:14" ht="15.75" customHeight="1">
      <c r="A73" s="2" t="s">
        <v>120</v>
      </c>
      <c r="B73" s="3" t="str">
        <f t="shared" si="3"/>
        <v>November</v>
      </c>
      <c r="C73" s="2">
        <v>3423.43</v>
      </c>
      <c r="D73" s="3">
        <v>45620</v>
      </c>
      <c r="E73" s="2" t="s">
        <v>35</v>
      </c>
      <c r="F73" s="2" t="s">
        <v>16</v>
      </c>
      <c r="G73" s="2">
        <f t="shared" si="4"/>
        <v>342.34300000000002</v>
      </c>
      <c r="H73" s="2">
        <f t="shared" si="5"/>
        <v>3081.087</v>
      </c>
      <c r="I73" s="2">
        <v>9</v>
      </c>
      <c r="J73" s="3">
        <v>45622</v>
      </c>
      <c r="K73" s="2" t="s">
        <v>34</v>
      </c>
      <c r="L73" s="2" t="s">
        <v>24</v>
      </c>
      <c r="M73" s="2">
        <v>698.02</v>
      </c>
      <c r="N73" s="2" t="s">
        <v>31</v>
      </c>
    </row>
    <row r="74" spans="1:14" ht="15.75" customHeight="1">
      <c r="A74" s="2" t="s">
        <v>121</v>
      </c>
      <c r="B74" s="3" t="str">
        <f t="shared" si="3"/>
        <v>November</v>
      </c>
      <c r="C74" s="2">
        <v>4433.84</v>
      </c>
      <c r="D74" s="3">
        <v>45621</v>
      </c>
      <c r="E74" s="2" t="s">
        <v>28</v>
      </c>
      <c r="F74" s="2" t="s">
        <v>29</v>
      </c>
      <c r="G74" s="2">
        <f t="shared" si="4"/>
        <v>443.38400000000001</v>
      </c>
      <c r="H74" s="2">
        <f t="shared" si="5"/>
        <v>3990.4560000000001</v>
      </c>
      <c r="I74" s="2">
        <v>5</v>
      </c>
      <c r="J74" s="3">
        <v>45626</v>
      </c>
      <c r="K74" s="2" t="s">
        <v>23</v>
      </c>
      <c r="L74" s="2" t="s">
        <v>30</v>
      </c>
      <c r="M74" s="2">
        <v>1229.3</v>
      </c>
      <c r="N74" s="2" t="s">
        <v>52</v>
      </c>
    </row>
    <row r="75" spans="1:14" ht="15.75" customHeight="1">
      <c r="A75" s="2" t="s">
        <v>122</v>
      </c>
      <c r="B75" s="3" t="str">
        <f t="shared" si="3"/>
        <v>March</v>
      </c>
      <c r="C75" s="2">
        <v>3860.05</v>
      </c>
      <c r="D75" s="3">
        <v>44987</v>
      </c>
      <c r="E75" s="2" t="s">
        <v>35</v>
      </c>
      <c r="F75" s="2" t="s">
        <v>29</v>
      </c>
      <c r="G75" s="2">
        <f t="shared" si="4"/>
        <v>386.005</v>
      </c>
      <c r="H75" s="2">
        <f t="shared" si="5"/>
        <v>3474.0450000000001</v>
      </c>
      <c r="I75" s="2">
        <v>1</v>
      </c>
      <c r="J75" s="3">
        <v>44994</v>
      </c>
      <c r="K75" s="2" t="s">
        <v>17</v>
      </c>
      <c r="L75" s="2" t="s">
        <v>18</v>
      </c>
      <c r="M75" s="2">
        <v>800.39</v>
      </c>
      <c r="N75" s="2" t="s">
        <v>31</v>
      </c>
    </row>
    <row r="76" spans="1:14" ht="15.75" customHeight="1">
      <c r="A76" s="2" t="s">
        <v>123</v>
      </c>
      <c r="B76" s="3" t="str">
        <f t="shared" si="3"/>
        <v>April</v>
      </c>
      <c r="C76" s="2">
        <v>2919.35</v>
      </c>
      <c r="D76" s="3">
        <v>45409</v>
      </c>
      <c r="E76" s="2" t="s">
        <v>28</v>
      </c>
      <c r="F76" s="2" t="s">
        <v>16</v>
      </c>
      <c r="G76" s="2">
        <f t="shared" si="4"/>
        <v>291.935</v>
      </c>
      <c r="H76" s="2">
        <f t="shared" si="5"/>
        <v>2627.415</v>
      </c>
      <c r="I76" s="2">
        <v>2</v>
      </c>
      <c r="J76" s="3">
        <v>45410</v>
      </c>
      <c r="K76" s="2" t="s">
        <v>17</v>
      </c>
      <c r="L76" s="2" t="s">
        <v>24</v>
      </c>
      <c r="M76" s="2">
        <v>163.35</v>
      </c>
      <c r="N76" s="2" t="s">
        <v>52</v>
      </c>
    </row>
    <row r="77" spans="1:14" ht="15.75" customHeight="1">
      <c r="A77" s="2" t="s">
        <v>124</v>
      </c>
      <c r="B77" s="3" t="str">
        <f t="shared" si="3"/>
        <v>June</v>
      </c>
      <c r="C77" s="2">
        <v>4140.62</v>
      </c>
      <c r="D77" s="3">
        <v>45106</v>
      </c>
      <c r="E77" s="2" t="s">
        <v>35</v>
      </c>
      <c r="F77" s="2" t="s">
        <v>37</v>
      </c>
      <c r="G77" s="2">
        <f t="shared" si="4"/>
        <v>414.06200000000001</v>
      </c>
      <c r="H77" s="2">
        <f t="shared" si="5"/>
        <v>3726.558</v>
      </c>
      <c r="I77" s="2">
        <v>2</v>
      </c>
      <c r="J77" s="3">
        <v>45113</v>
      </c>
      <c r="K77" s="2" t="s">
        <v>17</v>
      </c>
      <c r="L77" s="2" t="s">
        <v>18</v>
      </c>
      <c r="M77" s="2">
        <v>743.22</v>
      </c>
      <c r="N77" s="2" t="s">
        <v>31</v>
      </c>
    </row>
    <row r="78" spans="1:14" ht="15.75" customHeight="1">
      <c r="A78" s="2" t="s">
        <v>125</v>
      </c>
      <c r="B78" s="3" t="str">
        <f t="shared" si="3"/>
        <v>September</v>
      </c>
      <c r="C78" s="2">
        <v>4935.92</v>
      </c>
      <c r="D78" s="3">
        <v>45561</v>
      </c>
      <c r="E78" s="2" t="s">
        <v>21</v>
      </c>
      <c r="F78" s="2" t="s">
        <v>22</v>
      </c>
      <c r="G78" s="2">
        <f t="shared" si="4"/>
        <v>493.59199999999998</v>
      </c>
      <c r="H78" s="2">
        <f t="shared" si="5"/>
        <v>4442.3280000000004</v>
      </c>
      <c r="I78" s="2">
        <v>6</v>
      </c>
      <c r="J78" s="3">
        <v>45566</v>
      </c>
      <c r="K78" s="2" t="s">
        <v>23</v>
      </c>
      <c r="L78" s="2" t="s">
        <v>18</v>
      </c>
      <c r="M78" s="2">
        <v>1440.78</v>
      </c>
      <c r="N78" s="2" t="s">
        <v>44</v>
      </c>
    </row>
    <row r="79" spans="1:14" ht="15.75" customHeight="1">
      <c r="A79" s="2" t="s">
        <v>126</v>
      </c>
      <c r="B79" s="3" t="str">
        <f t="shared" si="3"/>
        <v>January</v>
      </c>
      <c r="C79" s="2">
        <v>1570.89</v>
      </c>
      <c r="D79" s="3">
        <v>44948</v>
      </c>
      <c r="E79" s="2" t="s">
        <v>21</v>
      </c>
      <c r="F79" s="2" t="s">
        <v>22</v>
      </c>
      <c r="G79" s="2">
        <f t="shared" si="4"/>
        <v>157.089</v>
      </c>
      <c r="H79" s="2">
        <f t="shared" si="5"/>
        <v>1413.8009999999999</v>
      </c>
      <c r="I79" s="2">
        <v>9</v>
      </c>
      <c r="J79" s="3">
        <v>44949</v>
      </c>
      <c r="K79" s="2" t="s">
        <v>34</v>
      </c>
      <c r="L79" s="2" t="s">
        <v>18</v>
      </c>
      <c r="M79" s="2">
        <v>336.22</v>
      </c>
      <c r="N79" s="2" t="s">
        <v>44</v>
      </c>
    </row>
    <row r="80" spans="1:14" ht="15.75" customHeight="1">
      <c r="A80" s="2" t="s">
        <v>127</v>
      </c>
      <c r="B80" s="3" t="str">
        <f t="shared" si="3"/>
        <v>May</v>
      </c>
      <c r="C80" s="2">
        <v>680.26</v>
      </c>
      <c r="D80" s="3">
        <v>45441</v>
      </c>
      <c r="E80" s="2" t="s">
        <v>15</v>
      </c>
      <c r="F80" s="2" t="s">
        <v>40</v>
      </c>
      <c r="G80" s="2">
        <f t="shared" si="4"/>
        <v>68.025999999999996</v>
      </c>
      <c r="H80" s="2">
        <f t="shared" si="5"/>
        <v>612.23400000000004</v>
      </c>
      <c r="I80" s="2">
        <v>3</v>
      </c>
      <c r="J80" s="3">
        <v>45444</v>
      </c>
      <c r="K80" s="2" t="s">
        <v>23</v>
      </c>
      <c r="L80" s="2" t="s">
        <v>18</v>
      </c>
      <c r="M80" s="2">
        <v>151.09</v>
      </c>
      <c r="N80" s="2" t="s">
        <v>31</v>
      </c>
    </row>
    <row r="81" spans="1:14" ht="15.75" customHeight="1">
      <c r="A81" s="2" t="s">
        <v>128</v>
      </c>
      <c r="B81" s="3" t="str">
        <f t="shared" si="3"/>
        <v>December</v>
      </c>
      <c r="C81" s="2">
        <v>3684.1</v>
      </c>
      <c r="D81" s="3">
        <v>45642</v>
      </c>
      <c r="E81" s="2" t="s">
        <v>21</v>
      </c>
      <c r="F81" s="2" t="s">
        <v>40</v>
      </c>
      <c r="G81" s="2">
        <f t="shared" si="4"/>
        <v>368.41</v>
      </c>
      <c r="H81" s="2">
        <f t="shared" si="5"/>
        <v>3315.69</v>
      </c>
      <c r="I81" s="2">
        <v>8</v>
      </c>
      <c r="J81" s="3">
        <v>45649</v>
      </c>
      <c r="K81" s="2" t="s">
        <v>34</v>
      </c>
      <c r="L81" s="2" t="s">
        <v>18</v>
      </c>
      <c r="M81" s="2">
        <v>289.32</v>
      </c>
      <c r="N81" s="2" t="s">
        <v>19</v>
      </c>
    </row>
    <row r="82" spans="1:14" ht="15.75" customHeight="1">
      <c r="A82" s="2" t="s">
        <v>129</v>
      </c>
      <c r="B82" s="3" t="str">
        <f t="shared" si="3"/>
        <v>November</v>
      </c>
      <c r="C82" s="2">
        <v>4895.12</v>
      </c>
      <c r="D82" s="3">
        <v>45624</v>
      </c>
      <c r="E82" s="2" t="s">
        <v>15</v>
      </c>
      <c r="F82" s="2" t="s">
        <v>22</v>
      </c>
      <c r="G82" s="2">
        <f t="shared" si="4"/>
        <v>489.512</v>
      </c>
      <c r="H82" s="2">
        <f t="shared" si="5"/>
        <v>4405.6080000000002</v>
      </c>
      <c r="I82" s="2">
        <v>2</v>
      </c>
      <c r="J82" s="3">
        <v>45630</v>
      </c>
      <c r="K82" s="2" t="s">
        <v>23</v>
      </c>
      <c r="L82" s="2" t="s">
        <v>24</v>
      </c>
      <c r="M82" s="2">
        <v>684.94</v>
      </c>
      <c r="N82" s="2" t="s">
        <v>52</v>
      </c>
    </row>
    <row r="83" spans="1:14" ht="15.75" customHeight="1">
      <c r="A83" s="2" t="s">
        <v>130</v>
      </c>
      <c r="B83" s="3" t="str">
        <f t="shared" si="3"/>
        <v>November</v>
      </c>
      <c r="C83" s="2">
        <v>671.86</v>
      </c>
      <c r="D83" s="3">
        <v>45609</v>
      </c>
      <c r="E83" s="2" t="s">
        <v>21</v>
      </c>
      <c r="F83" s="2" t="s">
        <v>16</v>
      </c>
      <c r="G83" s="2">
        <f t="shared" si="4"/>
        <v>67.186000000000007</v>
      </c>
      <c r="H83" s="2">
        <f t="shared" si="5"/>
        <v>604.67399999999998</v>
      </c>
      <c r="I83" s="2">
        <v>5</v>
      </c>
      <c r="J83" s="3">
        <v>45611</v>
      </c>
      <c r="K83" s="2" t="s">
        <v>34</v>
      </c>
      <c r="L83" s="2" t="s">
        <v>18</v>
      </c>
      <c r="M83" s="2">
        <v>175.75</v>
      </c>
      <c r="N83" s="2" t="s">
        <v>25</v>
      </c>
    </row>
    <row r="84" spans="1:14" ht="15.75" customHeight="1">
      <c r="A84" s="2" t="s">
        <v>131</v>
      </c>
      <c r="B84" s="3" t="str">
        <f t="shared" si="3"/>
        <v>July</v>
      </c>
      <c r="C84" s="2">
        <v>2215.37</v>
      </c>
      <c r="D84" s="3">
        <v>45499</v>
      </c>
      <c r="E84" s="2" t="s">
        <v>28</v>
      </c>
      <c r="F84" s="2" t="s">
        <v>16</v>
      </c>
      <c r="G84" s="2">
        <f t="shared" si="4"/>
        <v>221.53700000000001</v>
      </c>
      <c r="H84" s="2">
        <f t="shared" si="5"/>
        <v>1993.8330000000001</v>
      </c>
      <c r="I84" s="2">
        <v>4</v>
      </c>
      <c r="J84" s="3">
        <v>45506</v>
      </c>
      <c r="K84" s="2" t="s">
        <v>34</v>
      </c>
      <c r="L84" s="2" t="s">
        <v>30</v>
      </c>
      <c r="M84" s="2">
        <v>171.87</v>
      </c>
      <c r="N84" s="2" t="s">
        <v>38</v>
      </c>
    </row>
    <row r="85" spans="1:14" ht="15.75" customHeight="1">
      <c r="A85" s="2" t="s">
        <v>132</v>
      </c>
      <c r="B85" s="3" t="str">
        <f t="shared" si="3"/>
        <v>December</v>
      </c>
      <c r="C85" s="2">
        <v>405.11</v>
      </c>
      <c r="D85" s="3">
        <v>45275</v>
      </c>
      <c r="E85" s="2" t="s">
        <v>21</v>
      </c>
      <c r="F85" s="2" t="s">
        <v>29</v>
      </c>
      <c r="G85" s="2">
        <f t="shared" si="4"/>
        <v>40.511000000000003</v>
      </c>
      <c r="H85" s="2">
        <f t="shared" si="5"/>
        <v>364.59899999999999</v>
      </c>
      <c r="I85" s="2">
        <v>5</v>
      </c>
      <c r="J85" s="3">
        <v>45276</v>
      </c>
      <c r="K85" s="2" t="s">
        <v>23</v>
      </c>
      <c r="L85" s="2" t="s">
        <v>24</v>
      </c>
      <c r="M85" s="2">
        <v>105.25</v>
      </c>
      <c r="N85" s="2" t="s">
        <v>25</v>
      </c>
    </row>
    <row r="86" spans="1:14" ht="15.75" customHeight="1">
      <c r="A86" s="2" t="s">
        <v>133</v>
      </c>
      <c r="B86" s="3" t="str">
        <f t="shared" si="3"/>
        <v>July</v>
      </c>
      <c r="C86" s="2">
        <v>3905.01</v>
      </c>
      <c r="D86" s="3">
        <v>45491</v>
      </c>
      <c r="E86" s="2" t="s">
        <v>15</v>
      </c>
      <c r="F86" s="2" t="s">
        <v>29</v>
      </c>
      <c r="G86" s="2">
        <f t="shared" si="4"/>
        <v>390.50099999999998</v>
      </c>
      <c r="H86" s="2">
        <f t="shared" si="5"/>
        <v>3514.509</v>
      </c>
      <c r="I86" s="2">
        <v>4</v>
      </c>
      <c r="J86" s="3">
        <v>45498</v>
      </c>
      <c r="K86" s="2" t="s">
        <v>23</v>
      </c>
      <c r="L86" s="2" t="s">
        <v>18</v>
      </c>
      <c r="M86" s="2">
        <v>754.77</v>
      </c>
      <c r="N86" s="2" t="s">
        <v>25</v>
      </c>
    </row>
    <row r="87" spans="1:14" ht="15.75" customHeight="1">
      <c r="A87" s="2" t="s">
        <v>134</v>
      </c>
      <c r="B87" s="3" t="str">
        <f t="shared" si="3"/>
        <v>November</v>
      </c>
      <c r="C87" s="2">
        <v>4748.67</v>
      </c>
      <c r="D87" s="3">
        <v>45599</v>
      </c>
      <c r="E87" s="2" t="s">
        <v>15</v>
      </c>
      <c r="F87" s="2" t="s">
        <v>40</v>
      </c>
      <c r="G87" s="2">
        <f t="shared" si="4"/>
        <v>474.86700000000002</v>
      </c>
      <c r="H87" s="2">
        <f t="shared" si="5"/>
        <v>4273.8029999999999</v>
      </c>
      <c r="I87" s="2">
        <v>1</v>
      </c>
      <c r="J87" s="3">
        <v>45603</v>
      </c>
      <c r="K87" s="2" t="s">
        <v>23</v>
      </c>
      <c r="L87" s="2" t="s">
        <v>18</v>
      </c>
      <c r="M87" s="2">
        <v>705.01</v>
      </c>
      <c r="N87" s="2" t="s">
        <v>19</v>
      </c>
    </row>
    <row r="88" spans="1:14" ht="15.75" customHeight="1">
      <c r="A88" s="2" t="s">
        <v>135</v>
      </c>
      <c r="B88" s="3" t="str">
        <f t="shared" si="3"/>
        <v>August</v>
      </c>
      <c r="C88" s="2">
        <v>2545.0700000000002</v>
      </c>
      <c r="D88" s="3">
        <v>45150</v>
      </c>
      <c r="E88" s="2" t="s">
        <v>35</v>
      </c>
      <c r="F88" s="2" t="s">
        <v>22</v>
      </c>
      <c r="G88" s="2">
        <f t="shared" si="4"/>
        <v>254.50700000000001</v>
      </c>
      <c r="H88" s="2">
        <f t="shared" si="5"/>
        <v>2290.5630000000001</v>
      </c>
      <c r="I88" s="2">
        <v>1</v>
      </c>
      <c r="J88" s="3">
        <v>45152</v>
      </c>
      <c r="K88" s="2" t="s">
        <v>34</v>
      </c>
      <c r="L88" s="2" t="s">
        <v>24</v>
      </c>
      <c r="M88" s="2">
        <v>719.11</v>
      </c>
      <c r="N88" s="2" t="s">
        <v>44</v>
      </c>
    </row>
    <row r="89" spans="1:14" ht="15.75" customHeight="1">
      <c r="A89" s="2" t="s">
        <v>136</v>
      </c>
      <c r="B89" s="3" t="str">
        <f t="shared" si="3"/>
        <v>June</v>
      </c>
      <c r="C89" s="2">
        <v>2106.65</v>
      </c>
      <c r="D89" s="3">
        <v>45463</v>
      </c>
      <c r="E89" s="2" t="s">
        <v>28</v>
      </c>
      <c r="F89" s="2" t="s">
        <v>16</v>
      </c>
      <c r="G89" s="2">
        <f t="shared" si="4"/>
        <v>210.66499999999999</v>
      </c>
      <c r="H89" s="2">
        <f t="shared" si="5"/>
        <v>1895.9849999999999</v>
      </c>
      <c r="I89" s="2">
        <v>6</v>
      </c>
      <c r="J89" s="3">
        <v>45465</v>
      </c>
      <c r="K89" s="2" t="s">
        <v>23</v>
      </c>
      <c r="L89" s="2" t="s">
        <v>18</v>
      </c>
      <c r="M89" s="2">
        <v>120.84</v>
      </c>
      <c r="N89" s="2" t="s">
        <v>44</v>
      </c>
    </row>
    <row r="90" spans="1:14" ht="15.75" customHeight="1">
      <c r="A90" s="2" t="s">
        <v>137</v>
      </c>
      <c r="B90" s="3" t="str">
        <f t="shared" si="3"/>
        <v>November</v>
      </c>
      <c r="C90" s="2">
        <v>4547.82</v>
      </c>
      <c r="D90" s="3">
        <v>45232</v>
      </c>
      <c r="E90" s="2" t="s">
        <v>21</v>
      </c>
      <c r="F90" s="2" t="s">
        <v>22</v>
      </c>
      <c r="G90" s="2">
        <f t="shared" si="4"/>
        <v>454.78199999999998</v>
      </c>
      <c r="H90" s="2">
        <f t="shared" si="5"/>
        <v>4093.038</v>
      </c>
      <c r="I90" s="2">
        <v>8</v>
      </c>
      <c r="J90" s="3">
        <v>45237</v>
      </c>
      <c r="K90" s="2" t="s">
        <v>34</v>
      </c>
      <c r="L90" s="2" t="s">
        <v>30</v>
      </c>
      <c r="M90" s="2">
        <v>1281.0999999999999</v>
      </c>
      <c r="N90" s="2" t="s">
        <v>52</v>
      </c>
    </row>
    <row r="91" spans="1:14" ht="15.75" customHeight="1">
      <c r="A91" s="2" t="s">
        <v>138</v>
      </c>
      <c r="B91" s="3" t="str">
        <f t="shared" si="3"/>
        <v>October</v>
      </c>
      <c r="C91" s="2">
        <v>753.6</v>
      </c>
      <c r="D91" s="3">
        <v>45229</v>
      </c>
      <c r="E91" s="2" t="s">
        <v>35</v>
      </c>
      <c r="F91" s="2" t="s">
        <v>37</v>
      </c>
      <c r="G91" s="2">
        <f t="shared" si="4"/>
        <v>75.36</v>
      </c>
      <c r="H91" s="2">
        <f t="shared" si="5"/>
        <v>678.24</v>
      </c>
      <c r="I91" s="2">
        <v>7</v>
      </c>
      <c r="J91" s="3">
        <v>45231</v>
      </c>
      <c r="K91" s="2" t="s">
        <v>34</v>
      </c>
      <c r="L91" s="2" t="s">
        <v>18</v>
      </c>
      <c r="M91" s="2">
        <v>203.17</v>
      </c>
      <c r="N91" s="2" t="s">
        <v>38</v>
      </c>
    </row>
    <row r="92" spans="1:14" ht="15.75" customHeight="1">
      <c r="A92" s="2" t="s">
        <v>139</v>
      </c>
      <c r="B92" s="3" t="str">
        <f t="shared" si="3"/>
        <v>September</v>
      </c>
      <c r="C92" s="2">
        <v>4468.76</v>
      </c>
      <c r="D92" s="3">
        <v>45560</v>
      </c>
      <c r="E92" s="2" t="s">
        <v>21</v>
      </c>
      <c r="F92" s="2" t="s">
        <v>22</v>
      </c>
      <c r="G92" s="2">
        <f t="shared" si="4"/>
        <v>446.87599999999998</v>
      </c>
      <c r="H92" s="2">
        <f t="shared" si="5"/>
        <v>4021.884</v>
      </c>
      <c r="I92" s="2">
        <v>4</v>
      </c>
      <c r="J92" s="3">
        <v>45561</v>
      </c>
      <c r="K92" s="2" t="s">
        <v>23</v>
      </c>
      <c r="L92" s="2" t="s">
        <v>24</v>
      </c>
      <c r="M92" s="2">
        <v>1325.93</v>
      </c>
      <c r="N92" s="2" t="s">
        <v>38</v>
      </c>
    </row>
    <row r="93" spans="1:14" ht="15.75" customHeight="1">
      <c r="A93" s="2" t="s">
        <v>140</v>
      </c>
      <c r="B93" s="3" t="str">
        <f t="shared" si="3"/>
        <v>November</v>
      </c>
      <c r="C93" s="2">
        <v>2021.42</v>
      </c>
      <c r="D93" s="3">
        <v>45624</v>
      </c>
      <c r="E93" s="2" t="s">
        <v>21</v>
      </c>
      <c r="F93" s="2" t="s">
        <v>37</v>
      </c>
      <c r="G93" s="2">
        <f t="shared" si="4"/>
        <v>202.142</v>
      </c>
      <c r="H93" s="2">
        <f t="shared" si="5"/>
        <v>1819.278</v>
      </c>
      <c r="I93" s="2">
        <v>5</v>
      </c>
      <c r="J93" s="3">
        <v>45627</v>
      </c>
      <c r="K93" s="2" t="s">
        <v>17</v>
      </c>
      <c r="L93" s="2" t="s">
        <v>24</v>
      </c>
      <c r="M93" s="2">
        <v>311.67</v>
      </c>
      <c r="N93" s="2" t="s">
        <v>25</v>
      </c>
    </row>
    <row r="94" spans="1:14" ht="15.75" customHeight="1">
      <c r="A94" s="2" t="s">
        <v>141</v>
      </c>
      <c r="B94" s="3" t="str">
        <f t="shared" si="3"/>
        <v>December</v>
      </c>
      <c r="C94" s="2">
        <v>2841.09</v>
      </c>
      <c r="D94" s="3">
        <v>45282</v>
      </c>
      <c r="E94" s="2" t="s">
        <v>35</v>
      </c>
      <c r="F94" s="2" t="s">
        <v>29</v>
      </c>
      <c r="G94" s="2">
        <f t="shared" si="4"/>
        <v>284.10899999999998</v>
      </c>
      <c r="H94" s="2">
        <f t="shared" si="5"/>
        <v>2556.9810000000002</v>
      </c>
      <c r="I94" s="2">
        <v>8</v>
      </c>
      <c r="J94" s="3">
        <v>45283</v>
      </c>
      <c r="K94" s="2" t="s">
        <v>17</v>
      </c>
      <c r="L94" s="2" t="s">
        <v>24</v>
      </c>
      <c r="M94" s="2">
        <v>469.27</v>
      </c>
      <c r="N94" s="2" t="s">
        <v>52</v>
      </c>
    </row>
    <row r="95" spans="1:14" ht="15.75" customHeight="1">
      <c r="A95" s="2" t="s">
        <v>142</v>
      </c>
      <c r="B95" s="3" t="str">
        <f t="shared" si="3"/>
        <v>July</v>
      </c>
      <c r="C95" s="2">
        <v>2688.63</v>
      </c>
      <c r="D95" s="3">
        <v>45504</v>
      </c>
      <c r="E95" s="2" t="s">
        <v>35</v>
      </c>
      <c r="F95" s="2" t="s">
        <v>29</v>
      </c>
      <c r="G95" s="2">
        <f t="shared" si="4"/>
        <v>268.863</v>
      </c>
      <c r="H95" s="2">
        <f t="shared" si="5"/>
        <v>2419.7669999999998</v>
      </c>
      <c r="I95" s="2">
        <v>6</v>
      </c>
      <c r="J95" s="3">
        <v>45510</v>
      </c>
      <c r="K95" s="2" t="s">
        <v>34</v>
      </c>
      <c r="L95" s="2" t="s">
        <v>30</v>
      </c>
      <c r="M95" s="2">
        <v>608.51</v>
      </c>
      <c r="N95" s="2" t="s">
        <v>38</v>
      </c>
    </row>
    <row r="96" spans="1:14" ht="15.75" customHeight="1">
      <c r="A96" s="2" t="s">
        <v>143</v>
      </c>
      <c r="B96" s="3" t="str">
        <f t="shared" si="3"/>
        <v>December</v>
      </c>
      <c r="C96" s="2">
        <v>3118.3</v>
      </c>
      <c r="D96" s="3">
        <v>45645</v>
      </c>
      <c r="E96" s="2" t="s">
        <v>35</v>
      </c>
      <c r="F96" s="2" t="s">
        <v>40</v>
      </c>
      <c r="G96" s="2">
        <f t="shared" si="4"/>
        <v>311.83</v>
      </c>
      <c r="H96" s="2">
        <f t="shared" si="5"/>
        <v>2806.47</v>
      </c>
      <c r="I96" s="2">
        <v>8</v>
      </c>
      <c r="J96" s="3">
        <v>45647</v>
      </c>
      <c r="K96" s="2" t="s">
        <v>34</v>
      </c>
      <c r="L96" s="2" t="s">
        <v>18</v>
      </c>
      <c r="M96" s="2">
        <v>241.86</v>
      </c>
      <c r="N96" s="2" t="s">
        <v>31</v>
      </c>
    </row>
    <row r="97" spans="1:14" ht="15.75" customHeight="1">
      <c r="A97" s="2" t="s">
        <v>144</v>
      </c>
      <c r="B97" s="3" t="str">
        <f t="shared" si="3"/>
        <v>September</v>
      </c>
      <c r="C97" s="2">
        <v>4716.3999999999996</v>
      </c>
      <c r="D97" s="3">
        <v>45195</v>
      </c>
      <c r="E97" s="2" t="s">
        <v>35</v>
      </c>
      <c r="F97" s="2" t="s">
        <v>22</v>
      </c>
      <c r="G97" s="2">
        <f t="shared" si="4"/>
        <v>471.64</v>
      </c>
      <c r="H97" s="2">
        <f t="shared" si="5"/>
        <v>4244.76</v>
      </c>
      <c r="I97" s="2">
        <v>6</v>
      </c>
      <c r="J97" s="3">
        <v>45199</v>
      </c>
      <c r="K97" s="2" t="s">
        <v>17</v>
      </c>
      <c r="L97" s="2" t="s">
        <v>24</v>
      </c>
      <c r="M97" s="2">
        <v>523.02</v>
      </c>
      <c r="N97" s="2" t="s">
        <v>44</v>
      </c>
    </row>
    <row r="98" spans="1:14" ht="15.75" customHeight="1">
      <c r="A98" s="2" t="s">
        <v>145</v>
      </c>
      <c r="B98" s="3" t="str">
        <f t="shared" si="3"/>
        <v>January</v>
      </c>
      <c r="C98" s="2">
        <v>4760.5200000000004</v>
      </c>
      <c r="D98" s="3">
        <v>44941</v>
      </c>
      <c r="E98" s="2" t="s">
        <v>35</v>
      </c>
      <c r="F98" s="2" t="s">
        <v>22</v>
      </c>
      <c r="G98" s="2">
        <f t="shared" si="4"/>
        <v>476.05200000000002</v>
      </c>
      <c r="H98" s="2">
        <f t="shared" si="5"/>
        <v>4284.4679999999998</v>
      </c>
      <c r="I98" s="2">
        <v>8</v>
      </c>
      <c r="J98" s="3">
        <v>44947</v>
      </c>
      <c r="K98" s="2" t="s">
        <v>34</v>
      </c>
      <c r="L98" s="2" t="s">
        <v>30</v>
      </c>
      <c r="M98" s="2">
        <v>764.06</v>
      </c>
      <c r="N98" s="2" t="s">
        <v>25</v>
      </c>
    </row>
    <row r="99" spans="1:14" ht="15.75" customHeight="1">
      <c r="A99" s="2" t="s">
        <v>146</v>
      </c>
      <c r="B99" s="3" t="str">
        <f t="shared" si="3"/>
        <v>June</v>
      </c>
      <c r="C99" s="2">
        <v>4172.63</v>
      </c>
      <c r="D99" s="3">
        <v>45444</v>
      </c>
      <c r="E99" s="2" t="s">
        <v>21</v>
      </c>
      <c r="F99" s="2" t="s">
        <v>37</v>
      </c>
      <c r="G99" s="2">
        <f t="shared" si="4"/>
        <v>417.26299999999998</v>
      </c>
      <c r="H99" s="2">
        <f t="shared" si="5"/>
        <v>3755.3670000000002</v>
      </c>
      <c r="I99" s="2">
        <v>4</v>
      </c>
      <c r="J99" s="3">
        <v>45448</v>
      </c>
      <c r="K99" s="2" t="s">
        <v>17</v>
      </c>
      <c r="L99" s="2" t="s">
        <v>30</v>
      </c>
      <c r="M99" s="2">
        <v>957.31</v>
      </c>
      <c r="N99" s="2" t="s">
        <v>38</v>
      </c>
    </row>
    <row r="100" spans="1:14" ht="15.75" customHeight="1">
      <c r="A100" s="2" t="s">
        <v>147</v>
      </c>
      <c r="B100" s="3" t="str">
        <f t="shared" si="3"/>
        <v>September</v>
      </c>
      <c r="C100" s="2">
        <v>1038.57</v>
      </c>
      <c r="D100" s="3">
        <v>45179</v>
      </c>
      <c r="E100" s="2" t="s">
        <v>35</v>
      </c>
      <c r="F100" s="2" t="s">
        <v>29</v>
      </c>
      <c r="G100" s="2">
        <f t="shared" si="4"/>
        <v>103.857</v>
      </c>
      <c r="H100" s="2">
        <f t="shared" si="5"/>
        <v>934.71299999999997</v>
      </c>
      <c r="I100" s="2">
        <v>2</v>
      </c>
      <c r="J100" s="3">
        <v>45185</v>
      </c>
      <c r="K100" s="2" t="s">
        <v>34</v>
      </c>
      <c r="L100" s="2" t="s">
        <v>24</v>
      </c>
      <c r="M100" s="2">
        <v>180.83</v>
      </c>
      <c r="N100" s="2" t="s">
        <v>31</v>
      </c>
    </row>
    <row r="101" spans="1:14" ht="15.75" customHeight="1"/>
    <row r="102" spans="1:14" ht="15.75" customHeight="1"/>
    <row r="103" spans="1:14" ht="15.75" customHeight="1"/>
    <row r="104" spans="1:14" ht="15.75" customHeight="1"/>
    <row r="105" spans="1:14" ht="15.75" customHeight="1"/>
    <row r="106" spans="1:14" ht="15.75" customHeight="1"/>
    <row r="107" spans="1:14" ht="15.75" customHeight="1"/>
    <row r="108" spans="1:14" ht="15.75" customHeight="1"/>
    <row r="109" spans="1:14" ht="15.75" customHeight="1"/>
    <row r="110" spans="1:14" ht="15.75" customHeight="1"/>
    <row r="111" spans="1:14" ht="15.75" customHeight="1"/>
    <row r="112" spans="1:1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2026-08-21T10:06:00Z</dcterms:created>
  <dcterms:modified xsi:type="dcterms:W3CDTF">2026-08-24T09:53:00Z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987EDD6719ED4962916FA22E53F79317_13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